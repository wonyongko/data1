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유선 스위치" sheetId="2" state="visible" r:id="rId2"/>
    <sheet xmlns:r="http://schemas.openxmlformats.org/officeDocument/2006/relationships" name="무선 AP" sheetId="3" state="visible" r:id="rId3"/>
    <sheet xmlns:r="http://schemas.openxmlformats.org/officeDocument/2006/relationships" name="마운트킷" sheetId="4" state="visible" r:id="rId4"/>
    <sheet xmlns:r="http://schemas.openxmlformats.org/officeDocument/2006/relationships" name="외장 안테나" sheetId="5" state="visible" r:id="rId5"/>
    <sheet xmlns:r="http://schemas.openxmlformats.org/officeDocument/2006/relationships" name="데이터시트 목록" sheetId="6" state="visible" r:id="rId6"/>
    <sheet xmlns:r="http://schemas.openxmlformats.org/officeDocument/2006/relationships" name="분류 기준" sheetId="7" state="visible" r:id="rId7"/>
  </sheets>
  <definedNames>
    <definedName name="_xlnm.Print_Area" localSheetId="0">'요약'!$A$1:$H$30</definedName>
    <definedName name="_xlnm._FilterDatabase" localSheetId="1" hidden="1">'유선 스위치'!$A$5:$AE$131</definedName>
    <definedName name="_xlnm.Print_Titles" localSheetId="1">'유선 스위치'!$1:$5</definedName>
    <definedName name="_xlnm.Print_Area" localSheetId="1">'유선 스위치'!$A$1:$T$131</definedName>
    <definedName name="_xlnm._FilterDatabase" localSheetId="2" hidden="1">'무선 AP'!$A$5:$AT$24</definedName>
    <definedName name="_xlnm.Print_Titles" localSheetId="2">'무선 AP'!$1:$5</definedName>
    <definedName name="_xlnm.Print_Area" localSheetId="2">'무선 AP'!$A$1:$U$24</definedName>
    <definedName name="_xlnm._FilterDatabase" localSheetId="3" hidden="1">'마운트킷'!$A$5:$I$13</definedName>
    <definedName name="_xlnm.Print_Titles" localSheetId="3">'마운트킷'!$1:$5</definedName>
    <definedName name="_xlnm.Print_Area" localSheetId="3">'마운트킷'!$A$1:$I$13</definedName>
    <definedName name="_xlnm._FilterDatabase" localSheetId="4" hidden="1">'외장 안테나'!$A$5:$N$44</definedName>
    <definedName name="_xlnm.Print_Titles" localSheetId="4">'외장 안테나'!$1:$5</definedName>
    <definedName name="_xlnm.Print_Area" localSheetId="4">'외장 안테나'!$A$1:$N$44</definedName>
    <definedName name="_xlnm._FilterDatabase" localSheetId="5" hidden="1">'데이터시트 목록'!$A$5:$J$75</definedName>
    <definedName name="_xlnm.Print_Titles" localSheetId="5">'데이터시트 목록'!$1:$5</definedName>
    <definedName name="_xlnm.Print_Area" localSheetId="5">'데이터시트 목록'!$A$1:$J$75</definedName>
    <definedName name="_xlnm._FilterDatabase" localSheetId="6" hidden="1">'분류 기준'!$A$5:$F$21</definedName>
    <definedName name="_xlnm.Print_Titles" localSheetId="6">'분류 기준'!$1:$5</definedName>
    <definedName name="_xlnm.Print_Area" localSheetId="6">'분류 기준'!$A$1:$F$21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color rgb="00D9EAF7"/>
      <sz val="10"/>
    </font>
    <font>
      <name val="Aptos"/>
      <i val="1"/>
      <color rgb="00666666"/>
      <sz val="9"/>
    </font>
    <font>
      <name val="Aptos"/>
      <b val="1"/>
      <color rgb="00FFFFFF"/>
      <sz val="10"/>
    </font>
    <font>
      <name val="Aptos"/>
      <color rgb="00666666"/>
      <sz val="9"/>
    </font>
    <font>
      <name val="Aptos"/>
      <b val="1"/>
      <color rgb="00000000"/>
      <sz val="11"/>
    </font>
    <font>
      <name val="Aptos"/>
      <b val="1"/>
      <color rgb="001F4E78"/>
      <sz val="9"/>
    </font>
    <font>
      <name val="Aptos"/>
      <b val="1"/>
      <color rgb="00C65911"/>
      <sz val="9"/>
    </font>
    <font>
      <name val="Aptos"/>
      <color rgb="00008000"/>
      <sz val="9"/>
      <u val="single"/>
    </font>
    <font>
      <name val="Aptos"/>
      <b val="1"/>
      <color rgb="00006100"/>
      <sz val="9"/>
    </font>
    <font>
      <name val="Aptos"/>
      <b val="1"/>
      <color rgb="005F497A"/>
      <sz val="9"/>
    </font>
    <font>
      <name val="Aptos"/>
      <color rgb="00008000"/>
      <sz val="9"/>
    </font>
    <font>
      <name val="Aptos"/>
      <color rgb="00C65911"/>
      <sz val="9"/>
    </font>
  </fonts>
  <fills count="1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1F4E78"/>
      </patternFill>
    </fill>
    <fill>
      <patternFill patternType="solid">
        <fgColor rgb="00F3F6F8"/>
      </patternFill>
    </fill>
    <fill>
      <patternFill patternType="solid">
        <fgColor rgb="000F6B78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EAF2F8"/>
      </patternFill>
    </fill>
    <fill>
      <patternFill patternType="solid">
        <fgColor rgb="00E2F0D9"/>
      </patternFill>
    </fill>
    <fill>
      <patternFill patternType="solid">
        <fgColor rgb="00E4DFEC"/>
      </patternFill>
    </fill>
    <fill>
      <patternFill patternType="solid">
        <fgColor rgb="00FFF2CC"/>
      </patternFill>
    </fill>
    <fill>
      <patternFill patternType="solid">
        <fgColor rgb="00375623"/>
      </patternFill>
    </fill>
    <fill>
      <patternFill patternType="solid">
        <fgColor rgb="005B4B8A"/>
      </patternFill>
    </fill>
    <fill>
      <patternFill patternType="solid">
        <fgColor rgb="007F6000"/>
      </patternFill>
    </fill>
  </fills>
  <borders count="3">
    <border>
      <left/>
      <right/>
      <top/>
      <bottom/>
      <diagonal/>
    </border>
    <border>
      <bottom style="medium">
        <color rgb="00FFFFFF"/>
      </bottom>
    </border>
    <border>
      <top style="medium">
        <color rgb="001F4E78"/>
      </top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vertical="center" wrapText="1"/>
    </xf>
    <xf numFmtId="0" fontId="4" fillId="5" borderId="0" applyAlignment="1" pivotButton="0" quotePrefix="0" xfId="0">
      <alignment horizontal="left" vertical="center"/>
    </xf>
    <xf numFmtId="0" fontId="5" fillId="0" borderId="0" pivotButton="0" quotePrefix="0" xfId="0"/>
    <xf numFmtId="0" fontId="6" fillId="6" borderId="0" applyAlignment="1" pivotButton="0" quotePrefix="0" xfId="0">
      <alignment horizontal="center"/>
    </xf>
    <xf numFmtId="0" fontId="4" fillId="5" borderId="0" applyAlignment="1" pivotButton="0" quotePrefix="0" xfId="0">
      <alignment horizontal="left"/>
    </xf>
    <xf numFmtId="0" fontId="7" fillId="6" borderId="0" applyAlignment="1" pivotButton="0" quotePrefix="0" xfId="0">
      <alignment vertical="top" wrapText="1"/>
    </xf>
    <xf numFmtId="0" fontId="5" fillId="7" borderId="0" applyAlignment="1" pivotButton="0" quotePrefix="0" xfId="0">
      <alignment vertical="top" wrapText="1"/>
    </xf>
    <xf numFmtId="0" fontId="7" fillId="8" borderId="0" applyAlignment="1" pivotButton="0" quotePrefix="0" xfId="0">
      <alignment vertical="top" wrapText="1"/>
    </xf>
    <xf numFmtId="0" fontId="8" fillId="8" borderId="0" applyAlignment="1" pivotButton="0" quotePrefix="0" xfId="0">
      <alignment vertical="top" wrapText="1"/>
    </xf>
    <xf numFmtId="0" fontId="4" fillId="5" borderId="0" pivotButton="0" quotePrefix="0" xfId="0"/>
    <xf numFmtId="0" fontId="9" fillId="0" borderId="0" applyAlignment="1" pivotButton="0" quotePrefix="0" xfId="0">
      <alignment wrapText="1"/>
    </xf>
    <xf numFmtId="0" fontId="2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9" borderId="0" applyAlignment="1" pivotButton="0" quotePrefix="0" xfId="0">
      <alignment horizontal="center" vertical="top"/>
    </xf>
    <xf numFmtId="0" fontId="7" fillId="6" borderId="0" applyAlignment="1" pivotButton="0" quotePrefix="0" xfId="0">
      <alignment horizontal="center" vertical="top"/>
    </xf>
    <xf numFmtId="0" fontId="5" fillId="9" borderId="0" applyAlignment="1" pivotButton="0" quotePrefix="0" xfId="0">
      <alignment horizontal="left" vertical="top" wrapText="1"/>
    </xf>
    <xf numFmtId="0" fontId="10" fillId="10" borderId="0" applyAlignment="1" pivotButton="0" quotePrefix="0" xfId="0">
      <alignment horizontal="left" vertical="top" wrapText="1"/>
    </xf>
    <xf numFmtId="0" fontId="9" fillId="9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center" vertical="top"/>
    </xf>
    <xf numFmtId="0" fontId="5" fillId="0" borderId="0" applyAlignment="1" pivotButton="0" quotePrefix="0" xfId="0">
      <alignment horizontal="left" vertical="top" wrapText="1"/>
    </xf>
    <xf numFmtId="0" fontId="9" fillId="0" borderId="0" applyAlignment="1" pivotButton="0" quotePrefix="0" xfId="0">
      <alignment horizontal="left" vertical="top" wrapText="1"/>
    </xf>
    <xf numFmtId="0" fontId="5" fillId="9" borderId="2" applyAlignment="1" pivotButton="0" quotePrefix="0" xfId="0">
      <alignment horizontal="center" vertical="top"/>
    </xf>
    <xf numFmtId="0" fontId="7" fillId="6" borderId="2" applyAlignment="1" pivotButton="0" quotePrefix="0" xfId="0">
      <alignment horizontal="center" vertical="top"/>
    </xf>
    <xf numFmtId="0" fontId="5" fillId="9" borderId="2" applyAlignment="1" pivotButton="0" quotePrefix="0" xfId="0">
      <alignment horizontal="left" vertical="top" wrapText="1"/>
    </xf>
    <xf numFmtId="0" fontId="7" fillId="6" borderId="2" applyAlignment="1" pivotButton="0" quotePrefix="0" xfId="0">
      <alignment horizontal="left" vertical="top" wrapText="1"/>
    </xf>
    <xf numFmtId="0" fontId="10" fillId="10" borderId="2" applyAlignment="1" pivotButton="0" quotePrefix="0" xfId="0">
      <alignment horizontal="left" vertical="top" wrapText="1"/>
    </xf>
    <xf numFmtId="0" fontId="9" fillId="9" borderId="2" applyAlignment="1" pivotButton="0" quotePrefix="0" xfId="0">
      <alignment horizontal="left" vertical="top" wrapText="1"/>
    </xf>
    <xf numFmtId="0" fontId="7" fillId="6" borderId="0" applyAlignment="1" pivotButton="0" quotePrefix="0" xfId="0">
      <alignment horizontal="left" vertical="top" wrapText="1"/>
    </xf>
    <xf numFmtId="0" fontId="5" fillId="0" borderId="2" applyAlignment="1" pivotButton="0" quotePrefix="0" xfId="0">
      <alignment horizontal="center" vertical="top"/>
    </xf>
    <xf numFmtId="0" fontId="5" fillId="0" borderId="2" applyAlignment="1" pivotButton="0" quotePrefix="0" xfId="0">
      <alignment horizontal="left" vertical="top" wrapText="1"/>
    </xf>
    <xf numFmtId="0" fontId="9" fillId="0" borderId="2" applyAlignment="1" pivotButton="0" quotePrefix="0" xfId="0">
      <alignment horizontal="left" vertical="top" wrapText="1"/>
    </xf>
    <xf numFmtId="0" fontId="5" fillId="4" borderId="2" applyAlignment="1" pivotButton="0" quotePrefix="0" xfId="0">
      <alignment horizontal="left" vertical="top" wrapText="1"/>
    </xf>
    <xf numFmtId="0" fontId="5" fillId="4" borderId="0" applyAlignment="1" pivotButton="0" quotePrefix="0" xfId="0">
      <alignment horizontal="left" vertical="top" wrapText="1"/>
    </xf>
    <xf numFmtId="0" fontId="11" fillId="11" borderId="2" applyAlignment="1" pivotButton="0" quotePrefix="0" xfId="0">
      <alignment horizontal="left" vertical="top" wrapText="1"/>
    </xf>
    <xf numFmtId="0" fontId="11" fillId="11" borderId="0" applyAlignment="1" pivotButton="0" quotePrefix="0" xfId="0">
      <alignment horizontal="left" vertical="top" wrapText="1"/>
    </xf>
    <xf numFmtId="0" fontId="8" fillId="8" borderId="2" applyAlignment="1" pivotButton="0" quotePrefix="0" xfId="0">
      <alignment horizontal="left" vertical="top" wrapText="1"/>
    </xf>
    <xf numFmtId="0" fontId="8" fillId="8" borderId="0" applyAlignment="1" pivotButton="0" quotePrefix="0" xfId="0">
      <alignment horizontal="left" vertical="top" wrapText="1"/>
    </xf>
    <xf numFmtId="0" fontId="10" fillId="10" borderId="2" applyAlignment="1" pivotButton="0" quotePrefix="0" xfId="0">
      <alignment horizontal="center" vertical="top"/>
    </xf>
    <xf numFmtId="0" fontId="10" fillId="10" borderId="0" applyAlignment="1" pivotButton="0" quotePrefix="0" xfId="0">
      <alignment horizontal="center" vertical="top"/>
    </xf>
    <xf numFmtId="0" fontId="5" fillId="8" borderId="0" applyAlignment="1" pivotButton="0" quotePrefix="0" xfId="0">
      <alignment horizontal="center" vertical="top"/>
    </xf>
    <xf numFmtId="0" fontId="5" fillId="8" borderId="0" applyAlignment="1" pivotButton="0" quotePrefix="0" xfId="0">
      <alignment horizontal="left" vertical="top" wrapText="1"/>
    </xf>
    <xf numFmtId="0" fontId="9" fillId="8" borderId="0" applyAlignment="1" pivotButton="0" quotePrefix="0" xfId="0">
      <alignment horizontal="left" vertical="top" wrapText="1"/>
    </xf>
    <xf numFmtId="0" fontId="5" fillId="8" borderId="2" applyAlignment="1" pivotButton="0" quotePrefix="0" xfId="0">
      <alignment horizontal="center" vertical="top"/>
    </xf>
    <xf numFmtId="0" fontId="5" fillId="8" borderId="2" applyAlignment="1" pivotButton="0" quotePrefix="0" xfId="0">
      <alignment horizontal="left" vertical="top" wrapText="1"/>
    </xf>
    <xf numFmtId="0" fontId="9" fillId="8" borderId="2" applyAlignment="1" pivotButton="0" quotePrefix="0" xfId="0">
      <alignment horizontal="left" vertical="top" wrapText="1"/>
    </xf>
    <xf numFmtId="0" fontId="4" fillId="2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12" fillId="9" borderId="0" applyAlignment="1" pivotButton="0" quotePrefix="0" xfId="0">
      <alignment horizontal="left" vertical="top" wrapText="1"/>
    </xf>
    <xf numFmtId="0" fontId="13" fillId="12" borderId="0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left" vertical="top" wrapText="1"/>
    </xf>
    <xf numFmtId="0" fontId="12" fillId="9" borderId="2" applyAlignment="1" pivotButton="0" quotePrefix="0" xfId="0">
      <alignment horizontal="left" vertical="top" wrapText="1"/>
    </xf>
    <xf numFmtId="0" fontId="12" fillId="0" borderId="2" applyAlignment="1" pivotButton="0" quotePrefix="0" xfId="0">
      <alignment horizontal="left" vertical="top" wrapText="1"/>
    </xf>
    <xf numFmtId="0" fontId="13" fillId="12" borderId="2" applyAlignment="1" pivotButton="0" quotePrefix="0" xfId="0">
      <alignment horizontal="left" vertical="top" wrapText="1"/>
    </xf>
    <xf numFmtId="0" fontId="4" fillId="3" borderId="0" applyAlignment="1" pivotButton="0" quotePrefix="0" xfId="0">
      <alignment horizontal="center" vertical="center" wrapText="1"/>
    </xf>
    <xf numFmtId="0" fontId="4" fillId="13" borderId="0" applyAlignment="1" pivotButton="0" quotePrefix="0" xfId="0">
      <alignment horizontal="center" vertical="center" wrapText="1"/>
    </xf>
    <xf numFmtId="0" fontId="4" fillId="14" borderId="0" applyAlignment="1" pivotButton="0" quotePrefix="0" xfId="0">
      <alignment horizontal="center" vertical="center" wrapText="1"/>
    </xf>
    <xf numFmtId="0" fontId="4" fillId="15" borderId="0" applyAlignment="1" pivotButton="0" quotePrefix="0" xfId="0">
      <alignment horizontal="center" vertical="center" wrapText="1"/>
    </xf>
    <xf numFmtId="0" fontId="12" fillId="8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OpenAI</author>
  </authors>
  <commentList>
    <comment ref="B5" authorId="0" shapeId="0">
      <text>
        <t>DCS = Data Center Switch, CCS = Cognitive Campus Switch. SKU prefix/공식 제품 분류를 우선 적용했습니다.</t>
      </text>
    </comment>
    <comment ref="H5" authorId="0" shapeId="0">
      <text>
        <t>공식 제품 positioning과 사양을 바탕으로 한 실무 분류입니다. 기능/지원/라이선스 보증을 대체하지 않습니다.</t>
      </text>
    </comment>
    <comment ref="I5" authorId="0" shapeId="0">
      <text>
        <t>공식 제품 positioning과 사양을 바탕으로 한 실무 분류입니다. 기능/지원/라이선스 보증을 대체하지 않습니다.</t>
      </text>
    </comment>
    <comment ref="J5" authorId="0" shapeId="0">
      <text>
        <t>공식 제품 positioning과 사양을 바탕으로 한 실무 분류입니다. 기능/지원/라이선스 보증을 대체하지 않습니다.</t>
      </text>
    </comment>
    <comment ref="Q5" authorId="0" shapeId="0">
      <text>
        <t>현행/레거시는 공식 페이지와 데이터시트 존재 상태를 요약한 것으로, 실시간 orderability 및 support lifecycle은 별도 확인해야 합니다.</t>
      </text>
    </comment>
    <comment ref="U5" authorId="0" shapeId="0">
      <text>
        <t>각 행의 공식 데이터시트 URL(공식 데이터시트 열)을 기준으로 전사. 모델/변형별 적용 단위가 다른 경우 셀 안에 표기.</t>
      </text>
    </comment>
    <comment ref="V5" authorId="0" shapeId="0">
      <text>
        <t>각 행의 공식 데이터시트 URL(공식 데이터시트 열)을 기준으로 전사. 모델/변형별 적용 단위가 다른 경우 셀 안에 표기.</t>
      </text>
    </comment>
    <comment ref="W5" authorId="0" shapeId="0">
      <text>
        <t>각 행의 공식 데이터시트 URL(공식 데이터시트 열)을 기준으로 전사. 모델/변형별 적용 단위가 다른 경우 셀 안에 표기.</t>
      </text>
    </comment>
    <comment ref="X5" authorId="0" shapeId="0">
      <text>
        <t>각 행의 공식 데이터시트 URL(공식 데이터시트 열)을 기준으로 전사. 모델/변형별 적용 단위가 다른 경우 셀 안에 표기.</t>
      </text>
    </comment>
    <comment ref="Y5" authorId="0" shapeId="0">
      <text>
        <t>각 행의 공식 데이터시트 URL(공식 데이터시트 열)을 기준으로 전사. 모델/변형별 적용 단위가 다른 경우 셀 안에 표기.</t>
      </text>
    </comment>
    <comment ref="Z5" authorId="0" shapeId="0">
      <text>
        <t>각 행의 공식 데이터시트 URL(공식 데이터시트 열)을 기준으로 전사. 모델/변형별 적용 단위가 다른 경우 셀 안에 표기.</t>
      </text>
    </comment>
    <comment ref="AA5" authorId="0" shapeId="0">
      <text>
        <t>각 행의 공식 데이터시트 URL(공식 데이터시트 열)을 기준으로 전사. 모델/변형별 적용 단위가 다른 경우 셀 안에 표기.</t>
      </text>
    </comment>
    <comment ref="AB5" authorId="0" shapeId="0">
      <text>
        <t>각 행의 공식 데이터시트 URL(공식 데이터시트 열)을 기준으로 전사. 모델/변형별 적용 단위가 다른 경우 셀 안에 표기.</t>
      </text>
    </comment>
    <comment ref="AC5" authorId="0" shapeId="0">
      <text>
        <t>각 행의 공식 데이터시트 URL(공식 데이터시트 열)을 기준으로 전사. 모델/변형별 적용 단위가 다른 경우 셀 안에 표기.</t>
      </text>
    </comment>
    <comment ref="AD5" authorId="0" shapeId="0">
      <text>
        <t>각 행의 공식 데이터시트 URL(공식 데이터시트 열)을 기준으로 전사. 모델/변형별 적용 단위가 다른 경우 셀 안에 표기.</t>
      </text>
    </comment>
    <comment ref="AE5" authorId="0" shapeId="0">
      <text>
        <t>각 행의 공식 데이터시트 URL(공식 데이터시트 열)을 기준으로 전사. 모델/변형별 적용 단위가 다른 경우 셀 안에 표기.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P5" authorId="0" shapeId="0">
      <text>
        <t>Antenna Selection Guide에 명시된 AP 호환성만 기재했습니다. O-405E는 가이드 미표기로 별도 검증이 필요합니다.</t>
      </text>
    </comment>
    <comment ref="V5" authorId="0" shapeId="0">
      <text>
        <t>공식 AP 데이터시트의 Key Specifications, radio, power, physical/environmental 항목을 분류하여 전사.</t>
      </text>
    </comment>
    <comment ref="W5" authorId="0" shapeId="0">
      <text>
        <t>공식 AP 데이터시트의 Key Specifications, radio, power, physical/environmental 항목을 분류하여 전사.</t>
      </text>
    </comment>
    <comment ref="X5" authorId="0" shapeId="0">
      <text>
        <t>공식 AP 데이터시트의 Key Specifications, radio, power, physical/environmental 항목을 분류하여 전사.</t>
      </text>
    </comment>
    <comment ref="Y5" authorId="0" shapeId="0">
      <text>
        <t>공식 AP 데이터시트의 Key Specifications, radio, power, physical/environmental 항목을 분류하여 전사.</t>
      </text>
    </comment>
    <comment ref="Z5" authorId="0" shapeId="0">
      <text>
        <t>공식 AP 데이터시트의 Key Specifications, radio, power, physical/environmental 항목을 분류하여 전사.</t>
      </text>
    </comment>
    <comment ref="AA5" authorId="0" shapeId="0">
      <text>
        <t>공식 AP 데이터시트의 Key Specifications, radio, power, physical/environmental 항목을 분류하여 전사.</t>
      </text>
    </comment>
    <comment ref="AB5" authorId="0" shapeId="0">
      <text>
        <t>공식 AP 데이터시트의 Key Specifications, radio, power, physical/environmental 항목을 분류하여 전사.</t>
      </text>
    </comment>
    <comment ref="AC5" authorId="0" shapeId="0">
      <text>
        <t>공식 AP 데이터시트의 Key Specifications, radio, power, physical/environmental 항목을 분류하여 전사.</t>
      </text>
    </comment>
    <comment ref="AD5" authorId="0" shapeId="0">
      <text>
        <t>공식 AP 데이터시트의 Key Specifications, radio, power, physical/environmental 항목을 분류하여 전사.</t>
      </text>
    </comment>
    <comment ref="AE5" authorId="0" shapeId="0">
      <text>
        <t>공식 AP 데이터시트의 Key Specifications, radio, power, physical/environmental 항목을 분류하여 전사.</t>
      </text>
    </comment>
    <comment ref="AF5" authorId="0" shapeId="0">
      <text>
        <t>공식 AP 데이터시트의 Key Specifications, radio, power, physical/environmental 항목을 분류하여 전사.</t>
      </text>
    </comment>
    <comment ref="AG5" authorId="0" shapeId="0">
      <text>
        <t>공식 AP 데이터시트의 Key Specifications, radio, power, physical/environmental 항목을 분류하여 전사.</t>
      </text>
    </comment>
    <comment ref="AH5" authorId="0" shapeId="0">
      <text>
        <t>공식 AP 데이터시트의 Key Specifications, radio, power, physical/environmental 항목을 분류하여 전사.</t>
      </text>
    </comment>
    <comment ref="AI5" authorId="0" shapeId="0">
      <text>
        <t>공식 AP 데이터시트의 Key Specifications, radio, power, physical/environmental 항목을 분류하여 전사.</t>
      </text>
    </comment>
    <comment ref="AJ5" authorId="0" shapeId="0">
      <text>
        <t>공식 AP 데이터시트의 Key Specifications, radio, power, physical/environmental 항목을 분류하여 전사.</t>
      </text>
    </comment>
    <comment ref="AK5" authorId="0" shapeId="0">
      <text>
        <t>공식 AP 데이터시트의 Key Specifications, radio, power, physical/environmental 항목을 분류하여 전사.</t>
      </text>
    </comment>
    <comment ref="AL5" authorId="0" shapeId="0">
      <text>
        <t>공식 AP 데이터시트의 Key Specifications, radio, power, physical/environmental 항목을 분류하여 전사.</t>
      </text>
    </comment>
    <comment ref="AM5" authorId="0" shapeId="0">
      <text>
        <t>공식 AP 데이터시트의 Key Specifications, radio, power, physical/environmental 항목을 분류하여 전사.</t>
      </text>
    </comment>
    <comment ref="AN5" authorId="0" shapeId="0">
      <text>
        <t>공식 AP 데이터시트의 Key Specifications, radio, power, physical/environmental 항목을 분류하여 전사.</t>
      </text>
    </comment>
    <comment ref="AO5" authorId="0" shapeId="0">
      <text>
        <t>공식 AP 데이터시트의 Key Specifications, radio, power, physical/environmental 항목을 분류하여 전사.</t>
      </text>
    </comment>
    <comment ref="AP5" authorId="0" shapeId="0">
      <text>
        <t>공식 AP 데이터시트의 Key Specifications, radio, power, physical/environmental 항목을 분류하여 전사.</t>
      </text>
    </comment>
    <comment ref="AQ5" authorId="0" shapeId="0">
      <text>
        <t>공식 AP 데이터시트의 Key Specifications, radio, power, physical/environmental 항목을 분류하여 전사.</t>
      </text>
    </comment>
    <comment ref="AR5" authorId="0" shapeId="0">
      <text>
        <t>공식 AP 데이터시트의 Key Specifications, radio, power, physical/environmental 항목을 분류하여 전사.</t>
      </text>
    </comment>
    <comment ref="AS5" authorId="0" shapeId="0">
      <text>
        <t>공식 AP 데이터시트의 Key Specifications, radio, power, physical/environmental 항목을 분류하여 전사.</t>
      </text>
    </comment>
    <comment ref="AT5" authorId="0" shapeId="0">
      <text>
        <t>공식 AP 데이터시트의 Key Specifications, radio, power, physical/environmental 항목을 분류하여 전사.</t>
      </text>
    </comment>
  </commentList>
</comments>
</file>

<file path=xl/comments/comment3.xml><?xml version="1.0" encoding="utf-8"?>
<comments xmlns="http://schemas.openxmlformats.org/spreadsheetml/2006/main">
  <authors>
    <author>OpenAI</author>
  </authors>
  <commentList>
    <comment ref="K5" authorId="0" shapeId="0">
      <text>
        <t>공식 Antenna Selection Guide의 compatibility 표기만 사용했습니다.</t>
      </text>
    </comment>
  </commentList>
</comments>
</file>

<file path=xl/comments/comment4.xml><?xml version="1.0" encoding="utf-8"?>
<comments xmlns="http://schemas.openxmlformats.org/spreadsheetml/2006/main">
  <authors>
    <author>OpenAI</author>
  </authors>
  <commentList>
    <comment ref="F5" authorId="0" shapeId="0">
      <text>
        <t>모든 링크는 Arista 공식 도메인 원문 URL입니다.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rista.com/en/products/platforms" TargetMode="External" Id="rId1"/><Relationship Type="http://schemas.openxmlformats.org/officeDocument/2006/relationships/hyperlink" Target="https://www.arista.com/assets/data/pdf/Datasheets/AP-Comparison-Matrix-Datasheet-WiFi6.pdf" TargetMode="External" Id="rId2"/><Relationship Type="http://schemas.openxmlformats.org/officeDocument/2006/relationships/hyperlink" Target="https://www.arista.com/assets/data/pdf/Datasheets/AP-Mounting-Brackets-Datasheet.pdf" TargetMode="External" Id="rId3"/><Relationship Type="http://schemas.openxmlformats.org/officeDocument/2006/relationships/hyperlink" Target="https://www.arista.com/assets/data/pdf/Datasheets/Antenna-Selection-Guide.pdf" TargetMode="External" Id="rId4"/></Relationships>
</file>

<file path=xl/worksheets/_rels/sheet2.xml.rels><Relationships xmlns="http://schemas.openxmlformats.org/package/2006/relationships"><Relationship Type="http://schemas.openxmlformats.org/officeDocument/2006/relationships/hyperlink" Target="https://www.arista.com/en/products/platforms" TargetMode="External" Id="rId1"/><Relationship Type="http://schemas.openxmlformats.org/officeDocument/2006/relationships/hyperlink" Target="https://www.arista.com/assets/data/pdf/Datasheets/7800R4-Series-AI-Spine-Datasheet.pdf" TargetMode="External" Id="rId2"/><Relationship Type="http://schemas.openxmlformats.org/officeDocument/2006/relationships/hyperlink" Target="https://www.arista.com/en/products/platforms" TargetMode="External" Id="rId3"/><Relationship Type="http://schemas.openxmlformats.org/officeDocument/2006/relationships/hyperlink" Target="https://www.arista.com/assets/data/pdf/Datasheets/7800R4-Series-AI-Spine-Datasheet.pdf" TargetMode="External" Id="rId4"/><Relationship Type="http://schemas.openxmlformats.org/officeDocument/2006/relationships/hyperlink" Target="https://www.arista.com/en/products/platforms" TargetMode="External" Id="rId5"/><Relationship Type="http://schemas.openxmlformats.org/officeDocument/2006/relationships/hyperlink" Target="https://www.arista.com/assets/data/pdf/Datasheets/7800R4-Series-AI-Spine-Datasheet.pdf" TargetMode="External" Id="rId6"/><Relationship Type="http://schemas.openxmlformats.org/officeDocument/2006/relationships/hyperlink" Target="https://www.arista.com/en/products/platforms" TargetMode="External" Id="rId7"/><Relationship Type="http://schemas.openxmlformats.org/officeDocument/2006/relationships/hyperlink" Target="https://www.arista.com/assets/data/pdf/Datasheets/7800R4-Series-AI-Spine-Datasheet.pdf" TargetMode="External" Id="rId8"/><Relationship Type="http://schemas.openxmlformats.org/officeDocument/2006/relationships/hyperlink" Target="https://www.arista.com/en/products/platforms" TargetMode="External" Id="rId9"/><Relationship Type="http://schemas.openxmlformats.org/officeDocument/2006/relationships/hyperlink" Target="https://www.arista.com/assets/data/pdf/Datasheets/7800R3-Data-Sheet.pdf" TargetMode="External" Id="rId10"/><Relationship Type="http://schemas.openxmlformats.org/officeDocument/2006/relationships/hyperlink" Target="https://www.arista.com/en/products/platforms" TargetMode="External" Id="rId11"/><Relationship Type="http://schemas.openxmlformats.org/officeDocument/2006/relationships/hyperlink" Target="https://www.arista.com/assets/data/pdf/Datasheets/7800R3-Data-Sheet.pdf" TargetMode="External" Id="rId12"/><Relationship Type="http://schemas.openxmlformats.org/officeDocument/2006/relationships/hyperlink" Target="https://www.arista.com/en/products/platforms" TargetMode="External" Id="rId13"/><Relationship Type="http://schemas.openxmlformats.org/officeDocument/2006/relationships/hyperlink" Target="https://www.arista.com/assets/data/pdf/Datasheets/7800R3-Data-Sheet.pdf" TargetMode="External" Id="rId14"/><Relationship Type="http://schemas.openxmlformats.org/officeDocument/2006/relationships/hyperlink" Target="https://www.arista.com/en/products/platforms" TargetMode="External" Id="rId15"/><Relationship Type="http://schemas.openxmlformats.org/officeDocument/2006/relationships/hyperlink" Target="https://www.arista.com/assets/data/pdf/Datasheets/7800R3-Data-Sheet.pdf" TargetMode="External" Id="rId16"/><Relationship Type="http://schemas.openxmlformats.org/officeDocument/2006/relationships/hyperlink" Target="https://www.arista.com/en/products/platforms" TargetMode="External" Id="rId17"/><Relationship Type="http://schemas.openxmlformats.org/officeDocument/2006/relationships/hyperlink" Target="https://www.arista.com/assets/data/pdf/Datasheets/7800R3-Data-Sheet.pdf" TargetMode="External" Id="rId18"/><Relationship Type="http://schemas.openxmlformats.org/officeDocument/2006/relationships/hyperlink" Target="https://www.arista.com/en/products/platforms" TargetMode="External" Id="rId19"/><Relationship Type="http://schemas.openxmlformats.org/officeDocument/2006/relationships/hyperlink" Target="https://www.arista.com/assets/data/pdf/Datasheets/7700R4-Distributed-Etherlink-Switch-Datasheet.pdf" TargetMode="External" Id="rId20"/><Relationship Type="http://schemas.openxmlformats.org/officeDocument/2006/relationships/hyperlink" Target="https://www.arista.com/en/products/platforms" TargetMode="External" Id="rId21"/><Relationship Type="http://schemas.openxmlformats.org/officeDocument/2006/relationships/hyperlink" Target="https://www.arista.com/assets/data/pdf/Datasheets/7700R4-Distributed-Etherlink-Switch-Datasheet.pdf" TargetMode="External" Id="rId22"/><Relationship Type="http://schemas.openxmlformats.org/officeDocument/2006/relationships/hyperlink" Target="https://www.arista.com/en/products/platforms" TargetMode="External" Id="rId23"/><Relationship Type="http://schemas.openxmlformats.org/officeDocument/2006/relationships/hyperlink" Target="https://www.arista.com/assets/data/pdf/Datasheets/7500R3-Data-Sheet.pdf" TargetMode="External" Id="rId24"/><Relationship Type="http://schemas.openxmlformats.org/officeDocument/2006/relationships/hyperlink" Target="https://www.arista.com/en/products/platforms" TargetMode="External" Id="rId25"/><Relationship Type="http://schemas.openxmlformats.org/officeDocument/2006/relationships/hyperlink" Target="https://www.arista.com/assets/data/pdf/Datasheets/7500R3-Data-Sheet.pdf" TargetMode="External" Id="rId26"/><Relationship Type="http://schemas.openxmlformats.org/officeDocument/2006/relationships/hyperlink" Target="https://www.arista.com/en/products/platforms" TargetMode="External" Id="rId27"/><Relationship Type="http://schemas.openxmlformats.org/officeDocument/2006/relationships/hyperlink" Target="https://www.arista.com/assets/data/pdf/Datasheets/7500R3-Data-Sheet.pdf" TargetMode="External" Id="rId28"/><Relationship Type="http://schemas.openxmlformats.org/officeDocument/2006/relationships/hyperlink" Target="https://www.arista.com/en/products/platforms" TargetMode="External" Id="rId29"/><Relationship Type="http://schemas.openxmlformats.org/officeDocument/2006/relationships/hyperlink" Target="https://www.arista.com/assets/data/pdf/Datasheets/7500RDataSheet.pdf" TargetMode="External" Id="rId30"/><Relationship Type="http://schemas.openxmlformats.org/officeDocument/2006/relationships/hyperlink" Target="https://www.arista.com/en/products/platforms" TargetMode="External" Id="rId31"/><Relationship Type="http://schemas.openxmlformats.org/officeDocument/2006/relationships/hyperlink" Target="https://www.arista.com/assets/data/pdf/Datasheets/7500RDataSheet.pdf" TargetMode="External" Id="rId32"/><Relationship Type="http://schemas.openxmlformats.org/officeDocument/2006/relationships/hyperlink" Target="https://www.arista.com/en/products/platforms" TargetMode="External" Id="rId33"/><Relationship Type="http://schemas.openxmlformats.org/officeDocument/2006/relationships/hyperlink" Target="https://www.arista.com/assets/data/pdf/Datasheets/7500RDataSheet.pdf" TargetMode="External" Id="rId34"/><Relationship Type="http://schemas.openxmlformats.org/officeDocument/2006/relationships/hyperlink" Target="https://www.arista.com/en/products/platforms" TargetMode="External" Id="rId35"/><Relationship Type="http://schemas.openxmlformats.org/officeDocument/2006/relationships/hyperlink" Target="https://www.arista.com/assets/data/pdf/Datasheets/7500RDataSheet.pdf" TargetMode="External" Id="rId36"/><Relationship Type="http://schemas.openxmlformats.org/officeDocument/2006/relationships/hyperlink" Target="https://www.arista.com/en/products/platforms" TargetMode="External" Id="rId37"/><Relationship Type="http://schemas.openxmlformats.org/officeDocument/2006/relationships/hyperlink" Target="https://www.arista.com/assets/data/pdf/Datasheets/7300X3-Datasheet.pdf" TargetMode="External" Id="rId38"/><Relationship Type="http://schemas.openxmlformats.org/officeDocument/2006/relationships/hyperlink" Target="https://www.arista.com/en/products/platforms" TargetMode="External" Id="rId39"/><Relationship Type="http://schemas.openxmlformats.org/officeDocument/2006/relationships/hyperlink" Target="https://www.arista.com/assets/data/pdf/Datasheets/7300X3-Datasheet.pdf" TargetMode="External" Id="rId40"/><Relationship Type="http://schemas.openxmlformats.org/officeDocument/2006/relationships/hyperlink" Target="https://www.arista.com/en/products/platforms" TargetMode="External" Id="rId41"/><Relationship Type="http://schemas.openxmlformats.org/officeDocument/2006/relationships/hyperlink" Target="https://www.arista.com/assets/data/pdf/Datasheets/7388X5-Datasheet.pdf" TargetMode="External" Id="rId42"/><Relationship Type="http://schemas.openxmlformats.org/officeDocument/2006/relationships/hyperlink" Target="https://www.arista.com/en/products/platforms" TargetMode="External" Id="rId43"/><Relationship Type="http://schemas.openxmlformats.org/officeDocument/2006/relationships/hyperlink" Target="https://www.arista.com/assets/data/pdf/Datasheets/7368X4-Datasheet.pdf" TargetMode="External" Id="rId44"/><Relationship Type="http://schemas.openxmlformats.org/officeDocument/2006/relationships/hyperlink" Target="https://www.arista.com/en/products/platforms" TargetMode="External" Id="rId45"/><Relationship Type="http://schemas.openxmlformats.org/officeDocument/2006/relationships/hyperlink" Target="https://www.arista.com/assets/data/pdf/Datasheets/7358X4-Datasheet.pdf" TargetMode="External" Id="rId46"/><Relationship Type="http://schemas.openxmlformats.org/officeDocument/2006/relationships/hyperlink" Target="https://www.arista.com/en/products/platforms" TargetMode="External" Id="rId47"/><Relationship Type="http://schemas.openxmlformats.org/officeDocument/2006/relationships/hyperlink" Target="https://www.arista.com/assets/data/pdf/Datasheets/7280R4-Series-Datasheet.pdf" TargetMode="External" Id="rId48"/><Relationship Type="http://schemas.openxmlformats.org/officeDocument/2006/relationships/hyperlink" Target="https://www.arista.com/en/products/platforms" TargetMode="External" Id="rId49"/><Relationship Type="http://schemas.openxmlformats.org/officeDocument/2006/relationships/hyperlink" Target="https://www.arista.com/assets/data/pdf/Datasheets/7280R4-Series-Datasheet.pdf" TargetMode="External" Id="rId50"/><Relationship Type="http://schemas.openxmlformats.org/officeDocument/2006/relationships/hyperlink" Target="https://www.arista.com/en/products/platforms" TargetMode="External" Id="rId51"/><Relationship Type="http://schemas.openxmlformats.org/officeDocument/2006/relationships/hyperlink" Target="https://www.arista.com/assets/data/pdf/Datasheets/7280R3A-Datasheet.pdf" TargetMode="External" Id="rId52"/><Relationship Type="http://schemas.openxmlformats.org/officeDocument/2006/relationships/hyperlink" Target="https://www.arista.com/en/products/platforms" TargetMode="External" Id="rId53"/><Relationship Type="http://schemas.openxmlformats.org/officeDocument/2006/relationships/hyperlink" Target="https://www.arista.com/assets/data/pdf/Datasheets/7280R3A-Modular-Datasheet.pdf" TargetMode="External" Id="rId54"/><Relationship Type="http://schemas.openxmlformats.org/officeDocument/2006/relationships/hyperlink" Target="https://www.arista.com/en/products/platforms" TargetMode="External" Id="rId55"/><Relationship Type="http://schemas.openxmlformats.org/officeDocument/2006/relationships/hyperlink" Target="https://www.arista.com/assets/data/pdf/Datasheets/7280R3A-Datasheet.pdf" TargetMode="External" Id="rId56"/><Relationship Type="http://schemas.openxmlformats.org/officeDocument/2006/relationships/hyperlink" Target="https://www.arista.com/en/products/platforms" TargetMode="External" Id="rId57"/><Relationship Type="http://schemas.openxmlformats.org/officeDocument/2006/relationships/hyperlink" Target="https://www.arista.com/assets/data/pdf/Datasheets/7280R3A-Datasheet.pdf" TargetMode="External" Id="rId58"/><Relationship Type="http://schemas.openxmlformats.org/officeDocument/2006/relationships/hyperlink" Target="https://www.arista.com/en/products/platforms" TargetMode="External" Id="rId59"/><Relationship Type="http://schemas.openxmlformats.org/officeDocument/2006/relationships/hyperlink" Target="https://www.arista.com/assets/data/pdf/Datasheets/7280R3-Data-Sheet.pdf" TargetMode="External" Id="rId60"/><Relationship Type="http://schemas.openxmlformats.org/officeDocument/2006/relationships/hyperlink" Target="https://www.arista.com/en/products/platforms" TargetMode="External" Id="rId61"/><Relationship Type="http://schemas.openxmlformats.org/officeDocument/2006/relationships/hyperlink" Target="https://www.arista.com/assets/data/pdf/Datasheets/7280R3A-Datasheet.pdf" TargetMode="External" Id="rId62"/><Relationship Type="http://schemas.openxmlformats.org/officeDocument/2006/relationships/hyperlink" Target="https://www.arista.com/en/products/platforms" TargetMode="External" Id="rId63"/><Relationship Type="http://schemas.openxmlformats.org/officeDocument/2006/relationships/hyperlink" Target="https://www.arista.com/assets/data/pdf/Datasheets/7280R3-MACSec-Datasheet.pdf" TargetMode="External" Id="rId64"/><Relationship Type="http://schemas.openxmlformats.org/officeDocument/2006/relationships/hyperlink" Target="https://www.arista.com/en/products/platforms" TargetMode="External" Id="rId65"/><Relationship Type="http://schemas.openxmlformats.org/officeDocument/2006/relationships/hyperlink" Target="https://www.arista.com/assets/data/pdf/Datasheets/7280R3-Data-Sheet.pdf" TargetMode="External" Id="rId66"/><Relationship Type="http://schemas.openxmlformats.org/officeDocument/2006/relationships/hyperlink" Target="https://www.arista.com/en/products/platforms" TargetMode="External" Id="rId67"/><Relationship Type="http://schemas.openxmlformats.org/officeDocument/2006/relationships/hyperlink" Target="https://www.arista.com/assets/data/pdf/Datasheets/7280R3-Data-Sheet.pdf" TargetMode="External" Id="rId68"/><Relationship Type="http://schemas.openxmlformats.org/officeDocument/2006/relationships/hyperlink" Target="https://www.arista.com/en/products/platforms" TargetMode="External" Id="rId69"/><Relationship Type="http://schemas.openxmlformats.org/officeDocument/2006/relationships/hyperlink" Target="https://www.arista.com/assets/data/pdf/Datasheets/7280R3A-Datasheet.pdf" TargetMode="External" Id="rId70"/><Relationship Type="http://schemas.openxmlformats.org/officeDocument/2006/relationships/hyperlink" Target="https://www.arista.com/en/products/platforms" TargetMode="External" Id="rId71"/><Relationship Type="http://schemas.openxmlformats.org/officeDocument/2006/relationships/hyperlink" Target="https://www.arista.com/assets/data/pdf/Datasheets/7280R3-Data-Sheet.pdf" TargetMode="External" Id="rId72"/><Relationship Type="http://schemas.openxmlformats.org/officeDocument/2006/relationships/hyperlink" Target="https://www.arista.com/en/products/platforms" TargetMode="External" Id="rId73"/><Relationship Type="http://schemas.openxmlformats.org/officeDocument/2006/relationships/hyperlink" Target="https://www.arista.com/assets/data/pdf/Datasheets/7280R3A-Datasheet.pdf" TargetMode="External" Id="rId74"/><Relationship Type="http://schemas.openxmlformats.org/officeDocument/2006/relationships/hyperlink" Target="https://www.arista.com/en/products/platforms" TargetMode="External" Id="rId75"/><Relationship Type="http://schemas.openxmlformats.org/officeDocument/2006/relationships/hyperlink" Target="https://www.arista.com/assets/data/pdf/Datasheets/7280R3A-Datasheet.pdf" TargetMode="External" Id="rId76"/><Relationship Type="http://schemas.openxmlformats.org/officeDocument/2006/relationships/hyperlink" Target="https://www.arista.com/en/products/platforms" TargetMode="External" Id="rId77"/><Relationship Type="http://schemas.openxmlformats.org/officeDocument/2006/relationships/hyperlink" Target="https://www.arista.com/assets/data/pdf/Datasheets/7280R3-Data-Sheet.pdf" TargetMode="External" Id="rId78"/><Relationship Type="http://schemas.openxmlformats.org/officeDocument/2006/relationships/hyperlink" Target="https://www.arista.com/en/products/platforms" TargetMode="External" Id="rId79"/><Relationship Type="http://schemas.openxmlformats.org/officeDocument/2006/relationships/hyperlink" Target="https://www.arista.com/assets/data/pdf/Datasheets/7280R3-Data-Sheet.pdf" TargetMode="External" Id="rId80"/><Relationship Type="http://schemas.openxmlformats.org/officeDocument/2006/relationships/hyperlink" Target="https://www.arista.com/en/products/platforms" TargetMode="External" Id="rId81"/><Relationship Type="http://schemas.openxmlformats.org/officeDocument/2006/relationships/hyperlink" Target="https://www.arista.com/assets/data/pdf/Datasheets/7135V-Datasheet.pdf" TargetMode="External" Id="rId82"/><Relationship Type="http://schemas.openxmlformats.org/officeDocument/2006/relationships/hyperlink" Target="https://www.arista.com/en/products/platforms" TargetMode="External" Id="rId83"/><Relationship Type="http://schemas.openxmlformats.org/officeDocument/2006/relationships/hyperlink" Target="https://www.arista.com/assets/data/pdf/Datasheets/7130LBR-Datasheet.pdf" TargetMode="External" Id="rId84"/><Relationship Type="http://schemas.openxmlformats.org/officeDocument/2006/relationships/hyperlink" Target="https://www.arista.com/en/products/platforms" TargetMode="External" Id="rId85"/><Relationship Type="http://schemas.openxmlformats.org/officeDocument/2006/relationships/hyperlink" Target="https://www.arista.com/assets/data/pdf/Datasheets/7132LB-Datasheet.pdf" TargetMode="External" Id="rId86"/><Relationship Type="http://schemas.openxmlformats.org/officeDocument/2006/relationships/hyperlink" Target="https://www.arista.com/en/products/platforms" TargetMode="External" Id="rId87"/><Relationship Type="http://schemas.openxmlformats.org/officeDocument/2006/relationships/hyperlink" Target="https://www.arista.com/assets/data/pdf/Datasheets/7135LB-Datasheet.pdf" TargetMode="External" Id="rId88"/><Relationship Type="http://schemas.openxmlformats.org/officeDocument/2006/relationships/hyperlink" Target="https://www.arista.com/en/products/platforms" TargetMode="External" Id="rId89"/><Relationship Type="http://schemas.openxmlformats.org/officeDocument/2006/relationships/hyperlink" Target="https://www.arista.com/assets/data/pdf/Datasheets/7130E-Series-Data-Sheet.pdf" TargetMode="External" Id="rId90"/><Relationship Type="http://schemas.openxmlformats.org/officeDocument/2006/relationships/hyperlink" Target="https://www.arista.com/en/products/platforms" TargetMode="External" Id="rId91"/><Relationship Type="http://schemas.openxmlformats.org/officeDocument/2006/relationships/hyperlink" Target="https://www.arista.com/assets/data/pdf/Datasheets/7130LS-Series-Data-Sheet.pdf" TargetMode="External" Id="rId92"/><Relationship Type="http://schemas.openxmlformats.org/officeDocument/2006/relationships/hyperlink" Target="https://www.arista.com/en/products/platforms" TargetMode="External" Id="rId93"/><Relationship Type="http://schemas.openxmlformats.org/officeDocument/2006/relationships/hyperlink" Target="https://www.arista.com/assets/data/pdf/Datasheets/7130LS-Series-Data-Sheet.pdf" TargetMode="External" Id="rId94"/><Relationship Type="http://schemas.openxmlformats.org/officeDocument/2006/relationships/hyperlink" Target="https://www.arista.com/en/products/platforms" TargetMode="External" Id="rId95"/><Relationship Type="http://schemas.openxmlformats.org/officeDocument/2006/relationships/hyperlink" Target="https://www.arista.com/assets/data/pdf/Datasheets/7130-Connect-S-Series-Datasheet.pdf" TargetMode="External" Id="rId96"/><Relationship Type="http://schemas.openxmlformats.org/officeDocument/2006/relationships/hyperlink" Target="https://www.arista.com/en/products/platforms" TargetMode="External" Id="rId97"/><Relationship Type="http://schemas.openxmlformats.org/officeDocument/2006/relationships/hyperlink" Target="https://www.arista.com/assets/data/pdf/Datasheets/7060XE7-Datasheet.pdf" TargetMode="External" Id="rId98"/><Relationship Type="http://schemas.openxmlformats.org/officeDocument/2006/relationships/hyperlink" Target="https://www.arista.com/en/products/platforms" TargetMode="External" Id="rId99"/><Relationship Type="http://schemas.openxmlformats.org/officeDocument/2006/relationships/hyperlink" Target="https://www.arista.com/assets/data/pdf/Datasheets/7060XE7-Datasheet.pdf" TargetMode="External" Id="rId100"/><Relationship Type="http://schemas.openxmlformats.org/officeDocument/2006/relationships/hyperlink" Target="https://www.arista.com/en/products/platforms" TargetMode="External" Id="rId101"/><Relationship Type="http://schemas.openxmlformats.org/officeDocument/2006/relationships/hyperlink" Target="https://www.arista.com/assets/data/pdf/Datasheets/7060XE7-Datasheet.pdf" TargetMode="External" Id="rId102"/><Relationship Type="http://schemas.openxmlformats.org/officeDocument/2006/relationships/hyperlink" Target="https://www.arista.com/en/products/platforms" TargetMode="External" Id="rId103"/><Relationship Type="http://schemas.openxmlformats.org/officeDocument/2006/relationships/hyperlink" Target="https://www.arista.com/assets/data/pdf/Datasheets/7060XE7-Datasheet.pdf" TargetMode="External" Id="rId104"/><Relationship Type="http://schemas.openxmlformats.org/officeDocument/2006/relationships/hyperlink" Target="https://www.arista.com/en/products/platforms" TargetMode="External" Id="rId105"/><Relationship Type="http://schemas.openxmlformats.org/officeDocument/2006/relationships/hyperlink" Target="https://www.arista.com/assets/data/pdf/Datasheets/7060X6-Datasheet.pdf" TargetMode="External" Id="rId106"/><Relationship Type="http://schemas.openxmlformats.org/officeDocument/2006/relationships/hyperlink" Target="https://www.arista.com/en/products/platforms" TargetMode="External" Id="rId107"/><Relationship Type="http://schemas.openxmlformats.org/officeDocument/2006/relationships/hyperlink" Target="https://www.arista.com/assets/data/pdf/Datasheets/7060X6-Datasheet.pdf" TargetMode="External" Id="rId108"/><Relationship Type="http://schemas.openxmlformats.org/officeDocument/2006/relationships/hyperlink" Target="https://www.arista.com/en/products/platforms" TargetMode="External" Id="rId109"/><Relationship Type="http://schemas.openxmlformats.org/officeDocument/2006/relationships/hyperlink" Target="https://www.arista.com/assets/data/pdf/Datasheets/7060X5-Datasheet.pdf" TargetMode="External" Id="rId110"/><Relationship Type="http://schemas.openxmlformats.org/officeDocument/2006/relationships/hyperlink" Target="https://www.arista.com/en/products/platforms" TargetMode="External" Id="rId111"/><Relationship Type="http://schemas.openxmlformats.org/officeDocument/2006/relationships/hyperlink" Target="https://www.arista.com/assets/data/pdf/Datasheets/7060X5-Datasheet.pdf" TargetMode="External" Id="rId112"/><Relationship Type="http://schemas.openxmlformats.org/officeDocument/2006/relationships/hyperlink" Target="https://www.arista.com/en/products/platforms" TargetMode="External" Id="rId113"/><Relationship Type="http://schemas.openxmlformats.org/officeDocument/2006/relationships/hyperlink" Target="https://www.arista.com/assets/data/pdf/Datasheets/7060X5-Datasheet.pdf" TargetMode="External" Id="rId114"/><Relationship Type="http://schemas.openxmlformats.org/officeDocument/2006/relationships/hyperlink" Target="https://www.arista.com/en/products/platforms" TargetMode="External" Id="rId115"/><Relationship Type="http://schemas.openxmlformats.org/officeDocument/2006/relationships/hyperlink" Target="https://www.arista.com/assets/data/pdf/Datasheets/7060X5-Datasheet.pdf" TargetMode="External" Id="rId116"/><Relationship Type="http://schemas.openxmlformats.org/officeDocument/2006/relationships/hyperlink" Target="https://www.arista.com/en/products/platforms" TargetMode="External" Id="rId117"/><Relationship Type="http://schemas.openxmlformats.org/officeDocument/2006/relationships/hyperlink" Target="https://www.arista.com/assets/data/pdf/Datasheets/7060X4-Datasheet.pdf" TargetMode="External" Id="rId118"/><Relationship Type="http://schemas.openxmlformats.org/officeDocument/2006/relationships/hyperlink" Target="https://www.arista.com/en/products/platforms" TargetMode="External" Id="rId119"/><Relationship Type="http://schemas.openxmlformats.org/officeDocument/2006/relationships/hyperlink" Target="https://www.arista.com/assets/data/pdf/Datasheets/7060X4-Datasheet.pdf" TargetMode="External" Id="rId120"/><Relationship Type="http://schemas.openxmlformats.org/officeDocument/2006/relationships/hyperlink" Target="https://www.arista.com/en/products/platforms" TargetMode="External" Id="rId121"/><Relationship Type="http://schemas.openxmlformats.org/officeDocument/2006/relationships/hyperlink" Target="https://www.arista.com/assets/data/pdf/Datasheets/7060X_7260X_DS.pdf" TargetMode="External" Id="rId122"/><Relationship Type="http://schemas.openxmlformats.org/officeDocument/2006/relationships/hyperlink" Target="https://www.arista.com/en/products/platforms" TargetMode="External" Id="rId123"/><Relationship Type="http://schemas.openxmlformats.org/officeDocument/2006/relationships/hyperlink" Target="https://www.arista.com/assets/data/pdf/Datasheets/7260X3_Datasheet.pdf" TargetMode="External" Id="rId124"/><Relationship Type="http://schemas.openxmlformats.org/officeDocument/2006/relationships/hyperlink" Target="https://www.arista.com/en/products/platforms" TargetMode="External" Id="rId125"/><Relationship Type="http://schemas.openxmlformats.org/officeDocument/2006/relationships/hyperlink" Target="https://www.arista.com/assets/data/pdf/Datasheets/7060X_7260X_DS.pdf" TargetMode="External" Id="rId126"/><Relationship Type="http://schemas.openxmlformats.org/officeDocument/2006/relationships/hyperlink" Target="https://www.arista.com/en/products/platforms" TargetMode="External" Id="rId127"/><Relationship Type="http://schemas.openxmlformats.org/officeDocument/2006/relationships/hyperlink" Target="https://www.arista.com/assets/data/pdf/Datasheets/7060X_7260X_DS.pdf" TargetMode="External" Id="rId128"/><Relationship Type="http://schemas.openxmlformats.org/officeDocument/2006/relationships/hyperlink" Target="https://www.arista.com/en/products/platforms" TargetMode="External" Id="rId129"/><Relationship Type="http://schemas.openxmlformats.org/officeDocument/2006/relationships/hyperlink" Target="https://www.arista.com/assets/data/pdf/Datasheets/7060X_7260X_DS.pdf" TargetMode="External" Id="rId130"/><Relationship Type="http://schemas.openxmlformats.org/officeDocument/2006/relationships/hyperlink" Target="https://www.arista.com/en/products/platforms" TargetMode="External" Id="rId131"/><Relationship Type="http://schemas.openxmlformats.org/officeDocument/2006/relationships/hyperlink" Target="https://www.arista.com/assets/data/pdf/Datasheets/7060X_7260X_DS.pdf" TargetMode="External" Id="rId132"/><Relationship Type="http://schemas.openxmlformats.org/officeDocument/2006/relationships/hyperlink" Target="https://www.arista.com/en/products/platforms" TargetMode="External" Id="rId133"/><Relationship Type="http://schemas.openxmlformats.org/officeDocument/2006/relationships/hyperlink" Target="https://www.arista.com/assets/data/pdf/Datasheets/7050X4-Datasheet.pdf" TargetMode="External" Id="rId134"/><Relationship Type="http://schemas.openxmlformats.org/officeDocument/2006/relationships/hyperlink" Target="https://www.arista.com/en/products/platforms" TargetMode="External" Id="rId135"/><Relationship Type="http://schemas.openxmlformats.org/officeDocument/2006/relationships/hyperlink" Target="https://www.arista.com/assets/data/pdf/Datasheets/7050X4-Datasheet.pdf" TargetMode="External" Id="rId136"/><Relationship Type="http://schemas.openxmlformats.org/officeDocument/2006/relationships/hyperlink" Target="https://www.arista.com/en/products/platforms" TargetMode="External" Id="rId137"/><Relationship Type="http://schemas.openxmlformats.org/officeDocument/2006/relationships/hyperlink" Target="https://www.arista.com/assets/data/pdf/Datasheets/7050X4-Datasheet.pdf" TargetMode="External" Id="rId138"/><Relationship Type="http://schemas.openxmlformats.org/officeDocument/2006/relationships/hyperlink" Target="https://www.arista.com/en/products/platforms" TargetMode="External" Id="rId139"/><Relationship Type="http://schemas.openxmlformats.org/officeDocument/2006/relationships/hyperlink" Target="https://www.arista.com/assets/data/pdf/Datasheets/7050X4-Datasheet.pdf" TargetMode="External" Id="rId140"/><Relationship Type="http://schemas.openxmlformats.org/officeDocument/2006/relationships/hyperlink" Target="https://www.arista.com/en/products/platforms" TargetMode="External" Id="rId141"/><Relationship Type="http://schemas.openxmlformats.org/officeDocument/2006/relationships/hyperlink" Target="https://www.arista.com/assets/data/pdf/Datasheets/7050X4-Datasheet.pdf" TargetMode="External" Id="rId142"/><Relationship Type="http://schemas.openxmlformats.org/officeDocument/2006/relationships/hyperlink" Target="https://www.arista.com/en/products/platforms" TargetMode="External" Id="rId143"/><Relationship Type="http://schemas.openxmlformats.org/officeDocument/2006/relationships/hyperlink" Target="https://www.arista.com/assets/data/pdf/Datasheets/7050X4-Datasheet.pdf" TargetMode="External" Id="rId144"/><Relationship Type="http://schemas.openxmlformats.org/officeDocument/2006/relationships/hyperlink" Target="https://www.arista.com/en/products/platforms" TargetMode="External" Id="rId145"/><Relationship Type="http://schemas.openxmlformats.org/officeDocument/2006/relationships/hyperlink" Target="https://www.arista.com/assets/data/pdf/Datasheets/7050X4-Datasheet.pdf" TargetMode="External" Id="rId146"/><Relationship Type="http://schemas.openxmlformats.org/officeDocument/2006/relationships/hyperlink" Target="https://www.arista.com/en/products/platforms" TargetMode="External" Id="rId147"/><Relationship Type="http://schemas.openxmlformats.org/officeDocument/2006/relationships/hyperlink" Target="https://www.arista.com/assets/data/pdf/Datasheets/7050X4-Datasheet.pdf" TargetMode="External" Id="rId148"/><Relationship Type="http://schemas.openxmlformats.org/officeDocument/2006/relationships/hyperlink" Target="https://www.arista.com/en/products/platforms" TargetMode="External" Id="rId149"/><Relationship Type="http://schemas.openxmlformats.org/officeDocument/2006/relationships/hyperlink" Target="https://www.arista.com/assets/data/pdf/Datasheets/7050X3-Datasheet.pdf" TargetMode="External" Id="rId150"/><Relationship Type="http://schemas.openxmlformats.org/officeDocument/2006/relationships/hyperlink" Target="https://www.arista.com/en/products/platforms" TargetMode="External" Id="rId151"/><Relationship Type="http://schemas.openxmlformats.org/officeDocument/2006/relationships/hyperlink" Target="https://www.arista.com/assets/data/pdf/Datasheets/7050X3-Datasheet.pdf" TargetMode="External" Id="rId152"/><Relationship Type="http://schemas.openxmlformats.org/officeDocument/2006/relationships/hyperlink" Target="https://www.arista.com/en/products/platforms" TargetMode="External" Id="rId153"/><Relationship Type="http://schemas.openxmlformats.org/officeDocument/2006/relationships/hyperlink" Target="https://www.arista.com/assets/data/pdf/Datasheets/7050X3-Datasheet.pdf" TargetMode="External" Id="rId154"/><Relationship Type="http://schemas.openxmlformats.org/officeDocument/2006/relationships/hyperlink" Target="https://www.arista.com/en/products/platforms" TargetMode="External" Id="rId155"/><Relationship Type="http://schemas.openxmlformats.org/officeDocument/2006/relationships/hyperlink" Target="https://www.arista.com/assets/data/pdf/Datasheets/7050X3-Datasheet.pdf" TargetMode="External" Id="rId156"/><Relationship Type="http://schemas.openxmlformats.org/officeDocument/2006/relationships/hyperlink" Target="https://www.arista.com/en/products/platforms" TargetMode="External" Id="rId157"/><Relationship Type="http://schemas.openxmlformats.org/officeDocument/2006/relationships/hyperlink" Target="https://www.arista.com/assets/data/pdf/Datasheets/7050X3-Datasheet.pdf" TargetMode="External" Id="rId158"/><Relationship Type="http://schemas.openxmlformats.org/officeDocument/2006/relationships/hyperlink" Target="https://www.arista.com/en/products/platforms" TargetMode="External" Id="rId159"/><Relationship Type="http://schemas.openxmlformats.org/officeDocument/2006/relationships/hyperlink" Target="https://www.arista.com/assets/data/pdf/Datasheets/7050X3-Datasheet.pdf" TargetMode="External" Id="rId160"/><Relationship Type="http://schemas.openxmlformats.org/officeDocument/2006/relationships/hyperlink" Target="https://www.arista.com/en/products/platforms" TargetMode="External" Id="rId161"/><Relationship Type="http://schemas.openxmlformats.org/officeDocument/2006/relationships/hyperlink" Target="https://www.arista.com/assets/data/pdf/Datasheets/7050X3-macsec-Datasheet.pdf" TargetMode="External" Id="rId162"/><Relationship Type="http://schemas.openxmlformats.org/officeDocument/2006/relationships/hyperlink" Target="https://www.arista.com/en/products/platforms" TargetMode="External" Id="rId163"/><Relationship Type="http://schemas.openxmlformats.org/officeDocument/2006/relationships/hyperlink" Target="https://www.arista.com/assets/data/pdf/Datasheets/7050QX-32_32S_Datasheet_S.pdf" TargetMode="External" Id="rId164"/><Relationship Type="http://schemas.openxmlformats.org/officeDocument/2006/relationships/hyperlink" Target="https://www.arista.com/en/products/platforms" TargetMode="External" Id="rId165"/><Relationship Type="http://schemas.openxmlformats.org/officeDocument/2006/relationships/hyperlink" Target="https://www.arista.com/assets/data/pdf/Datasheets/7020R4-Datasheet.pdf" TargetMode="External" Id="rId166"/><Relationship Type="http://schemas.openxmlformats.org/officeDocument/2006/relationships/hyperlink" Target="https://www.arista.com/en/products/platforms" TargetMode="External" Id="rId167"/><Relationship Type="http://schemas.openxmlformats.org/officeDocument/2006/relationships/hyperlink" Target="https://www.arista.com/assets/data/pdf/Datasheets/7020R4-Datasheet.pdf" TargetMode="External" Id="rId168"/><Relationship Type="http://schemas.openxmlformats.org/officeDocument/2006/relationships/hyperlink" Target="https://www.arista.com/en/products/platforms" TargetMode="External" Id="rId169"/><Relationship Type="http://schemas.openxmlformats.org/officeDocument/2006/relationships/hyperlink" Target="https://www.arista.com/assets/data/pdf/Datasheets/7020R4-Datasheet.pdf" TargetMode="External" Id="rId170"/><Relationship Type="http://schemas.openxmlformats.org/officeDocument/2006/relationships/hyperlink" Target="https://www.arista.com/en/products/platforms" TargetMode="External" Id="rId171"/><Relationship Type="http://schemas.openxmlformats.org/officeDocument/2006/relationships/hyperlink" Target="https://www.arista.com/assets/data/pdf/Datasheets/7020R-48_Datasheet.pdf" TargetMode="External" Id="rId172"/><Relationship Type="http://schemas.openxmlformats.org/officeDocument/2006/relationships/hyperlink" Target="https://www.arista.com/en/products/platforms" TargetMode="External" Id="rId173"/><Relationship Type="http://schemas.openxmlformats.org/officeDocument/2006/relationships/hyperlink" Target="https://www.arista.com/assets/data/pdf/Datasheets/7020R-48_Datasheet.pdf" TargetMode="External" Id="rId174"/><Relationship Type="http://schemas.openxmlformats.org/officeDocument/2006/relationships/hyperlink" Target="https://www.arista.com/en/products/platforms" TargetMode="External" Id="rId175"/><Relationship Type="http://schemas.openxmlformats.org/officeDocument/2006/relationships/hyperlink" Target="https://www.arista.com/assets/data/pdf/Datasheets/7020R-48_Datasheet.pdf" TargetMode="External" Id="rId176"/><Relationship Type="http://schemas.openxmlformats.org/officeDocument/2006/relationships/hyperlink" Target="https://www.arista.com/en/products/platforms" TargetMode="External" Id="rId177"/><Relationship Type="http://schemas.openxmlformats.org/officeDocument/2006/relationships/hyperlink" Target="https://www.arista.com/assets/data/pdf/Datasheets/7020R-48_Datasheet.pdf" TargetMode="External" Id="rId178"/><Relationship Type="http://schemas.openxmlformats.org/officeDocument/2006/relationships/hyperlink" Target="https://www.arista.com/en/products/platforms" TargetMode="External" Id="rId179"/><Relationship Type="http://schemas.openxmlformats.org/officeDocument/2006/relationships/hyperlink" Target="https://www.arista.com/assets/data/pdf/Datasheets/7010TX-Datasheet.pdf" TargetMode="External" Id="rId180"/><Relationship Type="http://schemas.openxmlformats.org/officeDocument/2006/relationships/hyperlink" Target="https://www.arista.com/en/products/platforms" TargetMode="External" Id="rId181"/><Relationship Type="http://schemas.openxmlformats.org/officeDocument/2006/relationships/hyperlink" Target="https://www.arista.com/assets/data/pdf/Datasheets/7010TX-Datasheet.pdf" TargetMode="External" Id="rId182"/><Relationship Type="http://schemas.openxmlformats.org/officeDocument/2006/relationships/hyperlink" Target="https://www.arista.com/en/products/platforms" TargetMode="External" Id="rId183"/><Relationship Type="http://schemas.openxmlformats.org/officeDocument/2006/relationships/hyperlink" Target="https://www.arista.com/assets/data/pdf/Datasheets/CCS-750-Series-Datasheet.pdf" TargetMode="External" Id="rId184"/><Relationship Type="http://schemas.openxmlformats.org/officeDocument/2006/relationships/hyperlink" Target="https://www.arista.com/en/products/platforms" TargetMode="External" Id="rId185"/><Relationship Type="http://schemas.openxmlformats.org/officeDocument/2006/relationships/hyperlink" Target="https://www.arista.com/assets/data/pdf/Datasheets/CCS-750-Series-Datasheet.pdf" TargetMode="External" Id="rId186"/><Relationship Type="http://schemas.openxmlformats.org/officeDocument/2006/relationships/hyperlink" Target="https://www.arista.com/en/products/platforms" TargetMode="External" Id="rId187"/><Relationship Type="http://schemas.openxmlformats.org/officeDocument/2006/relationships/hyperlink" Target="https://www.arista.com/assets/data/pdf/Datasheets/CCS-750-Series-Datasheet.pdf" TargetMode="External" Id="rId188"/><Relationship Type="http://schemas.openxmlformats.org/officeDocument/2006/relationships/hyperlink" Target="https://www.arista.com/en/products/platforms" TargetMode="External" Id="rId189"/><Relationship Type="http://schemas.openxmlformats.org/officeDocument/2006/relationships/hyperlink" Target="https://www.arista.com/assets/data/pdf/Datasheets/CCS-750-Series-Datasheet.pdf" TargetMode="External" Id="rId190"/><Relationship Type="http://schemas.openxmlformats.org/officeDocument/2006/relationships/hyperlink" Target="https://www.arista.com/en/products/platforms" TargetMode="External" Id="rId191"/><Relationship Type="http://schemas.openxmlformats.org/officeDocument/2006/relationships/hyperlink" Target="https://www.arista.com/assets/data/pdf/Datasheets/CCS-750-Series-Datasheet.pdf" TargetMode="External" Id="rId192"/><Relationship Type="http://schemas.openxmlformats.org/officeDocument/2006/relationships/hyperlink" Target="https://www.arista.com/en/products/platforms" TargetMode="External" Id="rId193"/><Relationship Type="http://schemas.openxmlformats.org/officeDocument/2006/relationships/hyperlink" Target="https://www.arista.com/assets/data/pdf/Datasheets/CCS-750-Series-Datasheet.pdf" TargetMode="External" Id="rId194"/><Relationship Type="http://schemas.openxmlformats.org/officeDocument/2006/relationships/hyperlink" Target="https://www.arista.com/en/products/platforms" TargetMode="External" Id="rId195"/><Relationship Type="http://schemas.openxmlformats.org/officeDocument/2006/relationships/hyperlink" Target="https://www.arista.com/assets/data/pdf/Datasheets/CCS-750-Series-Datasheet.pdf" TargetMode="External" Id="rId196"/><Relationship Type="http://schemas.openxmlformats.org/officeDocument/2006/relationships/hyperlink" Target="https://www.arista.com/en/products/platforms" TargetMode="External" Id="rId197"/><Relationship Type="http://schemas.openxmlformats.org/officeDocument/2006/relationships/hyperlink" Target="https://www.arista.com/assets/data/pdf/Datasheets/CCS-750-Series-Datasheet.pdf" TargetMode="External" Id="rId198"/><Relationship Type="http://schemas.openxmlformats.org/officeDocument/2006/relationships/hyperlink" Target="https://www.arista.com/en/products/platforms" TargetMode="External" Id="rId199"/><Relationship Type="http://schemas.openxmlformats.org/officeDocument/2006/relationships/hyperlink" Target="https://www.arista.com/assets/data/pdf/Datasheets/CCS-750-Series-Datasheet.pdf" TargetMode="External" Id="rId200"/><Relationship Type="http://schemas.openxmlformats.org/officeDocument/2006/relationships/hyperlink" Target="https://www.arista.com/en/products/platforms" TargetMode="External" Id="rId201"/><Relationship Type="http://schemas.openxmlformats.org/officeDocument/2006/relationships/hyperlink" Target="https://www.arista.com/assets/data/pdf/Datasheets/CCS-750-Series-Datasheet.pdf" TargetMode="External" Id="rId202"/><Relationship Type="http://schemas.openxmlformats.org/officeDocument/2006/relationships/hyperlink" Target="https://www.arista.com/en/products/platforms" TargetMode="External" Id="rId203"/><Relationship Type="http://schemas.openxmlformats.org/officeDocument/2006/relationships/hyperlink" Target="https://www.arista.com/assets/data/pdf/Datasheets/CCS-750-Series-Datasheet.pdf" TargetMode="External" Id="rId204"/><Relationship Type="http://schemas.openxmlformats.org/officeDocument/2006/relationships/hyperlink" Target="https://www.arista.com/en/products/platforms" TargetMode="External" Id="rId205"/><Relationship Type="http://schemas.openxmlformats.org/officeDocument/2006/relationships/hyperlink" Target="https://www.arista.com/assets/data/pdf/Datasheets/CCS-710HXP-Datasheet.pdf" TargetMode="External" Id="rId206"/><Relationship Type="http://schemas.openxmlformats.org/officeDocument/2006/relationships/hyperlink" Target="https://www.arista.com/en/products/platforms" TargetMode="External" Id="rId207"/><Relationship Type="http://schemas.openxmlformats.org/officeDocument/2006/relationships/hyperlink" Target="https://www.arista.com/assets/data/pdf/Datasheets/CCS-710HXP-Datasheet.pdf" TargetMode="External" Id="rId208"/><Relationship Type="http://schemas.openxmlformats.org/officeDocument/2006/relationships/hyperlink" Target="https://www.arista.com/en/products/platforms" TargetMode="External" Id="rId209"/><Relationship Type="http://schemas.openxmlformats.org/officeDocument/2006/relationships/hyperlink" Target="https://www.arista.com/assets/data/pdf/Datasheets/CCS-710XP-Datasheet.pdf" TargetMode="External" Id="rId210"/><Relationship Type="http://schemas.openxmlformats.org/officeDocument/2006/relationships/hyperlink" Target="https://www.arista.com/en/products/platforms" TargetMode="External" Id="rId211"/><Relationship Type="http://schemas.openxmlformats.org/officeDocument/2006/relationships/hyperlink" Target="https://www.arista.com/assets/data/pdf/Datasheets/CCS-710XP-Datasheet.pdf" TargetMode="External" Id="rId212"/><Relationship Type="http://schemas.openxmlformats.org/officeDocument/2006/relationships/hyperlink" Target="https://www.arista.com/en/products/platforms" TargetMode="External" Id="rId213"/><Relationship Type="http://schemas.openxmlformats.org/officeDocument/2006/relationships/hyperlink" Target="https://www.arista.com/assets/data/pdf/Datasheets/CCS-720XPM-Datasheet.pdf" TargetMode="External" Id="rId214"/><Relationship Type="http://schemas.openxmlformats.org/officeDocument/2006/relationships/hyperlink" Target="https://www.arista.com/en/products/platforms" TargetMode="External" Id="rId215"/><Relationship Type="http://schemas.openxmlformats.org/officeDocument/2006/relationships/hyperlink" Target="https://www.arista.com/assets/data/pdf/Datasheets/CCS-720XPM-Datasheet.pdf" TargetMode="External" Id="rId216"/><Relationship Type="http://schemas.openxmlformats.org/officeDocument/2006/relationships/hyperlink" Target="https://www.arista.com/en/products/platforms" TargetMode="External" Id="rId217"/><Relationship Type="http://schemas.openxmlformats.org/officeDocument/2006/relationships/hyperlink" Target="https://www.arista.com/assets/data/pdf/Datasheets/CCS-720XPM-Datasheet.pdf" TargetMode="External" Id="rId218"/><Relationship Type="http://schemas.openxmlformats.org/officeDocument/2006/relationships/hyperlink" Target="https://www.arista.com/en/products/platforms" TargetMode="External" Id="rId219"/><Relationship Type="http://schemas.openxmlformats.org/officeDocument/2006/relationships/hyperlink" Target="https://www.arista.com/assets/data/pdf/Datasheets/CCS-720XP-Datasheet.pdf" TargetMode="External" Id="rId220"/><Relationship Type="http://schemas.openxmlformats.org/officeDocument/2006/relationships/hyperlink" Target="https://www.arista.com/en/products/platforms" TargetMode="External" Id="rId221"/><Relationship Type="http://schemas.openxmlformats.org/officeDocument/2006/relationships/hyperlink" Target="https://www.arista.com/assets/data/pdf/Datasheets/CCS-720XP-Datasheet.pdf" TargetMode="External" Id="rId222"/><Relationship Type="http://schemas.openxmlformats.org/officeDocument/2006/relationships/hyperlink" Target="https://www.arista.com/en/products/platforms" TargetMode="External" Id="rId223"/><Relationship Type="http://schemas.openxmlformats.org/officeDocument/2006/relationships/hyperlink" Target="https://www.arista.com/assets/data/pdf/Datasheets/CCS-720XP-Datasheet.pdf" TargetMode="External" Id="rId224"/><Relationship Type="http://schemas.openxmlformats.org/officeDocument/2006/relationships/hyperlink" Target="https://www.arista.com/en/products/platforms" TargetMode="External" Id="rId225"/><Relationship Type="http://schemas.openxmlformats.org/officeDocument/2006/relationships/hyperlink" Target="https://www.arista.com/assets/data/pdf/Datasheets/CCS-720XP-Datasheet.pdf" TargetMode="External" Id="rId226"/><Relationship Type="http://schemas.openxmlformats.org/officeDocument/2006/relationships/hyperlink" Target="https://www.arista.com/en/products/platforms" TargetMode="External" Id="rId227"/><Relationship Type="http://schemas.openxmlformats.org/officeDocument/2006/relationships/hyperlink" Target="https://www.arista.com/assets/data/pdf/Datasheets/CCS-720XP-Datasheet.pdf" TargetMode="External" Id="rId228"/><Relationship Type="http://schemas.openxmlformats.org/officeDocument/2006/relationships/hyperlink" Target="https://www.arista.com/en/products/platforms" TargetMode="External" Id="rId229"/><Relationship Type="http://schemas.openxmlformats.org/officeDocument/2006/relationships/hyperlink" Target="https://www.arista.com/assets/data/pdf/Datasheets/CCS-720XP-Datasheet.pdf" TargetMode="External" Id="rId230"/><Relationship Type="http://schemas.openxmlformats.org/officeDocument/2006/relationships/hyperlink" Target="https://www.arista.com/en/products/platforms" TargetMode="External" Id="rId231"/><Relationship Type="http://schemas.openxmlformats.org/officeDocument/2006/relationships/hyperlink" Target="https://www.arista.com/assets/data/pdf/Datasheets/CCS-722XP-Datasheet.pdf" TargetMode="External" Id="rId232"/><Relationship Type="http://schemas.openxmlformats.org/officeDocument/2006/relationships/hyperlink" Target="https://www.arista.com/en/products/platforms" TargetMode="External" Id="rId233"/><Relationship Type="http://schemas.openxmlformats.org/officeDocument/2006/relationships/hyperlink" Target="https://www.arista.com/assets/data/pdf/Datasheets/CCS-722XP-Datasheet.pdf" TargetMode="External" Id="rId234"/><Relationship Type="http://schemas.openxmlformats.org/officeDocument/2006/relationships/hyperlink" Target="https://www.arista.com/en/products/platforms" TargetMode="External" Id="rId235"/><Relationship Type="http://schemas.openxmlformats.org/officeDocument/2006/relationships/hyperlink" Target="https://www.arista.com/assets/data/pdf/Datasheets/CCS-720D-Datasheet.pdf" TargetMode="External" Id="rId236"/><Relationship Type="http://schemas.openxmlformats.org/officeDocument/2006/relationships/hyperlink" Target="https://www.arista.com/en/products/platforms" TargetMode="External" Id="rId237"/><Relationship Type="http://schemas.openxmlformats.org/officeDocument/2006/relationships/hyperlink" Target="https://www.arista.com/assets/data/pdf/Datasheets/CCS-720D-Datasheet.pdf" TargetMode="External" Id="rId238"/><Relationship Type="http://schemas.openxmlformats.org/officeDocument/2006/relationships/hyperlink" Target="https://www.arista.com/en/products/platforms" TargetMode="External" Id="rId239"/><Relationship Type="http://schemas.openxmlformats.org/officeDocument/2006/relationships/hyperlink" Target="https://www.arista.com/assets/data/pdf/Datasheets/CCS-720D-Datasheet.pdf" TargetMode="External" Id="rId240"/><Relationship Type="http://schemas.openxmlformats.org/officeDocument/2006/relationships/hyperlink" Target="https://www.arista.com/en/products/platforms" TargetMode="External" Id="rId241"/><Relationship Type="http://schemas.openxmlformats.org/officeDocument/2006/relationships/hyperlink" Target="https://www.arista.com/assets/data/pdf/Datasheets/CCS-720D-Datasheet.pdf" TargetMode="External" Id="rId242"/><Relationship Type="http://schemas.openxmlformats.org/officeDocument/2006/relationships/hyperlink" Target="https://www.arista.com/en/products/platforms" TargetMode="External" Id="rId243"/><Relationship Type="http://schemas.openxmlformats.org/officeDocument/2006/relationships/hyperlink" Target="https://www.arista.com/assets/data/pdf/Datasheets/CCS-720D-Datasheet.pdf" TargetMode="External" Id="rId244"/><Relationship Type="http://schemas.openxmlformats.org/officeDocument/2006/relationships/hyperlink" Target="https://www.arista.com/en/products/platforms" TargetMode="External" Id="rId245"/><Relationship Type="http://schemas.openxmlformats.org/officeDocument/2006/relationships/hyperlink" Target="https://www.arista.com/assets/data/pdf/Datasheets/CCS-720D-Datasheet.pdf" TargetMode="External" Id="rId246"/><Relationship Type="http://schemas.openxmlformats.org/officeDocument/2006/relationships/hyperlink" Target="https://www.arista.com/en/products/platforms" TargetMode="External" Id="rId247"/><Relationship Type="http://schemas.openxmlformats.org/officeDocument/2006/relationships/hyperlink" Target="https://www.arista.com/assets/data/pdf/Datasheets/CCS-720D-Datasheet.pdf" TargetMode="External" Id="rId248"/><Relationship Type="http://schemas.openxmlformats.org/officeDocument/2006/relationships/hyperlink" Target="https://www.arista.com/en/products/platforms" TargetMode="External" Id="rId249"/><Relationship Type="http://schemas.openxmlformats.org/officeDocument/2006/relationships/hyperlink" Target="https://www.arista.com/assets/data/pdf/Datasheets/CCS-710P-Datasheet.pdf" TargetMode="External" Id="rId250"/><Relationship Type="http://schemas.openxmlformats.org/officeDocument/2006/relationships/hyperlink" Target="https://www.arista.com/en/products/platforms" TargetMode="External" Id="rId251"/><Relationship Type="http://schemas.openxmlformats.org/officeDocument/2006/relationships/hyperlink" Target="https://www.arista.com/assets/data/pdf/Datasheets/CCS-710P-Datasheet.pdf" TargetMode="External" Id="rId252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hyperlink" Target="https://www.arista.com/en/products/wifi7-series" TargetMode="External" Id="rId1"/><Relationship Type="http://schemas.openxmlformats.org/officeDocument/2006/relationships/hyperlink" Target="https://www.arista.com/assets/data/pdf/Datasheets/Arista-C-460-Datasheet.pdf" TargetMode="External" Id="rId2"/><Relationship Type="http://schemas.openxmlformats.org/officeDocument/2006/relationships/hyperlink" Target="https://www.arista.com/en/products/wifi7-series" TargetMode="External" Id="rId3"/><Relationship Type="http://schemas.openxmlformats.org/officeDocument/2006/relationships/hyperlink" Target="https://www.arista.com/assets/data/pdf/Datasheets/Arista-C-460E-Datasheet.pdf" TargetMode="External" Id="rId4"/><Relationship Type="http://schemas.openxmlformats.org/officeDocument/2006/relationships/hyperlink" Target="https://www.arista.com/en/products/wifi7-series" TargetMode="External" Id="rId5"/><Relationship Type="http://schemas.openxmlformats.org/officeDocument/2006/relationships/hyperlink" Target="https://www.arista.com/assets/data/pdf/Datasheets/Arista-C-460D-Datasheet.pdf" TargetMode="External" Id="rId6"/><Relationship Type="http://schemas.openxmlformats.org/officeDocument/2006/relationships/hyperlink" Target="https://www.arista.com/en/products/wifi7-series" TargetMode="External" Id="rId7"/><Relationship Type="http://schemas.openxmlformats.org/officeDocument/2006/relationships/hyperlink" Target="https://www.arista.com/assets/data/pdf/Datasheets/Arista-C-430-Datasheet.pdf" TargetMode="External" Id="rId8"/><Relationship Type="http://schemas.openxmlformats.org/officeDocument/2006/relationships/hyperlink" Target="https://www.arista.com/en/products/wifi7-series" TargetMode="External" Id="rId9"/><Relationship Type="http://schemas.openxmlformats.org/officeDocument/2006/relationships/hyperlink" Target="https://www.arista.com/assets/data/pdf/Datasheets/Arista-C-400-Datasheet.pdf" TargetMode="External" Id="rId10"/><Relationship Type="http://schemas.openxmlformats.org/officeDocument/2006/relationships/hyperlink" Target="https://www.arista.com/en/products/wifi7-series" TargetMode="External" Id="rId11"/><Relationship Type="http://schemas.openxmlformats.org/officeDocument/2006/relationships/hyperlink" Target="https://www.arista.com/assets/data/pdf/Datasheets/Arista-O-435-Datasheet.pdf" TargetMode="External" Id="rId12"/><Relationship Type="http://schemas.openxmlformats.org/officeDocument/2006/relationships/hyperlink" Target="https://www.arista.com/en/products/wifi7-series" TargetMode="External" Id="rId13"/><Relationship Type="http://schemas.openxmlformats.org/officeDocument/2006/relationships/hyperlink" Target="https://www.arista.com/assets/data/pdf/Datasheets/Arista-O-435E-Datasheet.pdf" TargetMode="External" Id="rId14"/><Relationship Type="http://schemas.openxmlformats.org/officeDocument/2006/relationships/hyperlink" Target="https://www.arista.com/en/products/wifi7-series" TargetMode="External" Id="rId15"/><Relationship Type="http://schemas.openxmlformats.org/officeDocument/2006/relationships/hyperlink" Target="https://www.arista.com/assets/data/pdf/Datasheets/Arista-O-405-Datasheet.pdf" TargetMode="External" Id="rId16"/><Relationship Type="http://schemas.openxmlformats.org/officeDocument/2006/relationships/hyperlink" Target="https://www.arista.com/en/products/wifi7-series" TargetMode="External" Id="rId17"/><Relationship Type="http://schemas.openxmlformats.org/officeDocument/2006/relationships/hyperlink" Target="https://www.arista.com/assets/data/pdf/Datasheets/Arista-O-405E-Datasheet.pdf" TargetMode="External" Id="rId18"/><Relationship Type="http://schemas.openxmlformats.org/officeDocument/2006/relationships/hyperlink" Target="https://www.arista.com/en/products/wifi6e-series" TargetMode="External" Id="rId19"/><Relationship Type="http://schemas.openxmlformats.org/officeDocument/2006/relationships/hyperlink" Target="https://www.arista.com/assets/data/pdf/Datasheets/Arista-C-360-Datasheet.pdf" TargetMode="External" Id="rId20"/><Relationship Type="http://schemas.openxmlformats.org/officeDocument/2006/relationships/hyperlink" Target="https://www.arista.com/en/products/wifi6e-series" TargetMode="External" Id="rId21"/><Relationship Type="http://schemas.openxmlformats.org/officeDocument/2006/relationships/hyperlink" Target="https://www.arista.com/assets/data/pdf/Datasheets/Arista-C-330-Datasheet.pdf" TargetMode="External" Id="rId22"/><Relationship Type="http://schemas.openxmlformats.org/officeDocument/2006/relationships/hyperlink" Target="https://www.arista.com/en/products/wifi6e-series" TargetMode="External" Id="rId23"/><Relationship Type="http://schemas.openxmlformats.org/officeDocument/2006/relationships/hyperlink" Target="https://www.arista.com/assets/data/pdf/Datasheets/Arista-W-318-Datasheet.pdf" TargetMode="External" Id="rId24"/><Relationship Type="http://schemas.openxmlformats.org/officeDocument/2006/relationships/hyperlink" Target="https://www.arista.com/en/products/wifi6-series" TargetMode="External" Id="rId25"/><Relationship Type="http://schemas.openxmlformats.org/officeDocument/2006/relationships/hyperlink" Target="https://www.arista.com/assets/data/pdf/Datasheets/Arista-C-260-Datasheet.pdf" TargetMode="External" Id="rId26"/><Relationship Type="http://schemas.openxmlformats.org/officeDocument/2006/relationships/hyperlink" Target="https://www.arista.com/en/products/wifi6-series" TargetMode="External" Id="rId27"/><Relationship Type="http://schemas.openxmlformats.org/officeDocument/2006/relationships/hyperlink" Target="https://www.arista.com/assets/data/pdf/Datasheets/Arista-C-250-Datasheet.pdf" TargetMode="External" Id="rId28"/><Relationship Type="http://schemas.openxmlformats.org/officeDocument/2006/relationships/hyperlink" Target="https://www.arista.com/en/products/wifi6-series" TargetMode="External" Id="rId29"/><Relationship Type="http://schemas.openxmlformats.org/officeDocument/2006/relationships/hyperlink" Target="https://www.arista.com/assets/data/pdf/Datasheets/Arista-C-230-Datasheet.pdf" TargetMode="External" Id="rId30"/><Relationship Type="http://schemas.openxmlformats.org/officeDocument/2006/relationships/hyperlink" Target="https://www.arista.com/en/products/wifi6-series" TargetMode="External" Id="rId31"/><Relationship Type="http://schemas.openxmlformats.org/officeDocument/2006/relationships/hyperlink" Target="https://www.arista.com/assets/data/pdf/Datasheets/Arista-C-230E-Datasheet.pdf" TargetMode="External" Id="rId32"/><Relationship Type="http://schemas.openxmlformats.org/officeDocument/2006/relationships/hyperlink" Target="https://www.arista.com/en/products/wifi6-series" TargetMode="External" Id="rId33"/><Relationship Type="http://schemas.openxmlformats.org/officeDocument/2006/relationships/hyperlink" Target="https://www.arista.com/assets/data/pdf/Datasheets/Arista-O235-Datasheet.pdf" TargetMode="External" Id="rId34"/><Relationship Type="http://schemas.openxmlformats.org/officeDocument/2006/relationships/hyperlink" Target="https://www.arista.com/en/products/wifi6-series" TargetMode="External" Id="rId35"/><Relationship Type="http://schemas.openxmlformats.org/officeDocument/2006/relationships/hyperlink" Target="https://www.arista.com/assets/data/pdf/Datasheets/Arista-O235E-Datasheet.pdf" TargetMode="External" Id="rId36"/><Relationship Type="http://schemas.openxmlformats.org/officeDocument/2006/relationships/hyperlink" Target="https://www.arista.com/en/products/wifi6-series" TargetMode="External" Id="rId37"/><Relationship Type="http://schemas.openxmlformats.org/officeDocument/2006/relationships/hyperlink" Target="https://www.arista.com/assets/data/pdf/Datasheets/Arista-C-200-Datasheet.pdf" TargetMode="External" Id="rId38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hyperlink" Target="https://www.arista.com/assets/data/pdf/Datasheets/AP-Mounting-Brackets-Datasheet.pdf" TargetMode="External" Id="rId1"/><Relationship Type="http://schemas.openxmlformats.org/officeDocument/2006/relationships/hyperlink" Target="https://www.arista.com/assets/data/pdf/Datasheets/AP-Mounting-Brackets-Datasheet.pdf" TargetMode="External" Id="rId2"/><Relationship Type="http://schemas.openxmlformats.org/officeDocument/2006/relationships/hyperlink" Target="https://www.arista.com/assets/data/pdf/Datasheets/AP-Mounting-Brackets-Datasheet.pdf" TargetMode="External" Id="rId3"/><Relationship Type="http://schemas.openxmlformats.org/officeDocument/2006/relationships/hyperlink" Target="https://www.arista.com/assets/data/pdf/Datasheets/AP-Mounting-Brackets-Datasheet.pdf" TargetMode="External" Id="rId4"/><Relationship Type="http://schemas.openxmlformats.org/officeDocument/2006/relationships/hyperlink" Target="https://www.arista.com/assets/data/pdf/Datasheets/AP-Mounting-Brackets-Datasheet.pdf" TargetMode="External" Id="rId5"/><Relationship Type="http://schemas.openxmlformats.org/officeDocument/2006/relationships/hyperlink" Target="https://www.arista.com/assets/data/pdf/Datasheets/AP-Mounting-Brackets-Datasheet.pdf" TargetMode="External" Id="rId6"/><Relationship Type="http://schemas.openxmlformats.org/officeDocument/2006/relationships/hyperlink" Target="https://www.arista.com/assets/data/pdf/Datasheets/AP-Mounting-Brackets-Datasheet.pdf" TargetMode="External" Id="rId7"/><Relationship Type="http://schemas.openxmlformats.org/officeDocument/2006/relationships/hyperlink" Target="https://www.arista.com/assets/data/pdf/Datasheets/AP-Mounting-Brackets-Datasheet.pdf" TargetMode="External" Id="rId8"/></Relationships>
</file>

<file path=xl/worksheets/_rels/sheet5.xml.rels><Relationships xmlns="http://schemas.openxmlformats.org/package/2006/relationships"><Relationship Type="http://schemas.openxmlformats.org/officeDocument/2006/relationships/hyperlink" Target="https://www.arista.com/assets/data/pdf/Datasheets/Antenna-Selection-Guide.pdf" TargetMode="External" Id="rId1"/><Relationship Type="http://schemas.openxmlformats.org/officeDocument/2006/relationships/hyperlink" Target="https://www.arista.com/assets/data/pdf/Datasheets/Antenna-Selection-Guide.pdf" TargetMode="External" Id="rId2"/><Relationship Type="http://schemas.openxmlformats.org/officeDocument/2006/relationships/hyperlink" Target="https://www.arista.com/assets/data/pdf/Datasheets/Antenna-Selection-Guide.pdf" TargetMode="External" Id="rId3"/><Relationship Type="http://schemas.openxmlformats.org/officeDocument/2006/relationships/hyperlink" Target="https://www.arista.com/assets/data/pdf/Datasheets/Antenna-Selection-Guide.pdf" TargetMode="External" Id="rId4"/><Relationship Type="http://schemas.openxmlformats.org/officeDocument/2006/relationships/hyperlink" Target="https://www.arista.com/assets/data/pdf/Datasheets/Antenna-Selection-Guide.pdf" TargetMode="External" Id="rId5"/><Relationship Type="http://schemas.openxmlformats.org/officeDocument/2006/relationships/hyperlink" Target="https://www.arista.com/assets/data/pdf/Datasheets/Antenna-Selection-Guide.pdf" TargetMode="External" Id="rId6"/><Relationship Type="http://schemas.openxmlformats.org/officeDocument/2006/relationships/hyperlink" Target="https://www.arista.com/assets/data/pdf/Datasheets/Antenna-Selection-Guide.pdf" TargetMode="External" Id="rId7"/><Relationship Type="http://schemas.openxmlformats.org/officeDocument/2006/relationships/hyperlink" Target="https://www.arista.com/assets/data/pdf/Datasheets/Antenna-Selection-Guide.pdf" TargetMode="External" Id="rId8"/><Relationship Type="http://schemas.openxmlformats.org/officeDocument/2006/relationships/hyperlink" Target="https://www.arista.com/assets/data/pdf/Datasheets/Antenna-Selection-Guide.pdf" TargetMode="External" Id="rId9"/><Relationship Type="http://schemas.openxmlformats.org/officeDocument/2006/relationships/hyperlink" Target="https://www.arista.com/assets/data/pdf/Datasheets/Antenna-Selection-Guide.pdf" TargetMode="External" Id="rId10"/><Relationship Type="http://schemas.openxmlformats.org/officeDocument/2006/relationships/hyperlink" Target="https://www.arista.com/assets/data/pdf/Datasheets/Antenna-Selection-Guide.pdf" TargetMode="External" Id="rId11"/><Relationship Type="http://schemas.openxmlformats.org/officeDocument/2006/relationships/hyperlink" Target="https://www.arista.com/assets/data/pdf/Datasheets/Antenna-Selection-Guide.pdf" TargetMode="External" Id="rId12"/><Relationship Type="http://schemas.openxmlformats.org/officeDocument/2006/relationships/hyperlink" Target="https://www.arista.com/assets/data/pdf/Datasheets/Antenna-Selection-Guide.pdf" TargetMode="External" Id="rId13"/><Relationship Type="http://schemas.openxmlformats.org/officeDocument/2006/relationships/hyperlink" Target="https://www.arista.com/assets/data/pdf/Datasheets/Antenna-Selection-Guide.pdf" TargetMode="External" Id="rId14"/><Relationship Type="http://schemas.openxmlformats.org/officeDocument/2006/relationships/hyperlink" Target="https://www.arista.com/assets/data/pdf/Datasheets/Antenna-Selection-Guide.pdf" TargetMode="External" Id="rId15"/><Relationship Type="http://schemas.openxmlformats.org/officeDocument/2006/relationships/hyperlink" Target="https://www.arista.com/assets/data/pdf/Datasheets/Antenna-Selection-Guide.pdf" TargetMode="External" Id="rId16"/><Relationship Type="http://schemas.openxmlformats.org/officeDocument/2006/relationships/hyperlink" Target="https://www.arista.com/assets/data/pdf/Datasheets/Antenna-Selection-Guide.pdf" TargetMode="External" Id="rId17"/><Relationship Type="http://schemas.openxmlformats.org/officeDocument/2006/relationships/hyperlink" Target="https://www.arista.com/assets/data/pdf/Datasheets/Antenna-Selection-Guide.pdf" TargetMode="External" Id="rId18"/><Relationship Type="http://schemas.openxmlformats.org/officeDocument/2006/relationships/hyperlink" Target="https://www.arista.com/assets/data/pdf/Datasheets/Antenna-Selection-Guide.pdf" TargetMode="External" Id="rId19"/><Relationship Type="http://schemas.openxmlformats.org/officeDocument/2006/relationships/hyperlink" Target="https://www.arista.com/assets/data/pdf/Datasheets/Antenna-Selection-Guide.pdf" TargetMode="External" Id="rId20"/><Relationship Type="http://schemas.openxmlformats.org/officeDocument/2006/relationships/hyperlink" Target="https://www.arista.com/assets/data/pdf/Datasheets/Antenna-Selection-Guide.pdf" TargetMode="External" Id="rId21"/><Relationship Type="http://schemas.openxmlformats.org/officeDocument/2006/relationships/hyperlink" Target="https://www.arista.com/assets/data/pdf/Datasheets/Antenna-Selection-Guide.pdf" TargetMode="External" Id="rId22"/><Relationship Type="http://schemas.openxmlformats.org/officeDocument/2006/relationships/hyperlink" Target="https://www.arista.com/assets/data/pdf/Datasheets/Antenna-Selection-Guide.pdf" TargetMode="External" Id="rId23"/><Relationship Type="http://schemas.openxmlformats.org/officeDocument/2006/relationships/hyperlink" Target="https://www.arista.com/assets/data/pdf/Datasheets/Antenna-Selection-Guide.pdf" TargetMode="External" Id="rId24"/><Relationship Type="http://schemas.openxmlformats.org/officeDocument/2006/relationships/hyperlink" Target="https://www.arista.com/assets/data/pdf/Datasheets/Antenna-Selection-Guide.pdf" TargetMode="External" Id="rId25"/><Relationship Type="http://schemas.openxmlformats.org/officeDocument/2006/relationships/hyperlink" Target="https://www.arista.com/assets/data/pdf/Datasheets/Antenna-Selection-Guide.pdf" TargetMode="External" Id="rId26"/><Relationship Type="http://schemas.openxmlformats.org/officeDocument/2006/relationships/hyperlink" Target="https://www.arista.com/assets/data/pdf/Datasheets/Antenna-Selection-Guide.pdf" TargetMode="External" Id="rId27"/><Relationship Type="http://schemas.openxmlformats.org/officeDocument/2006/relationships/hyperlink" Target="https://www.arista.com/assets/data/pdf/Datasheets/Antenna-Selection-Guide.pdf" TargetMode="External" Id="rId28"/><Relationship Type="http://schemas.openxmlformats.org/officeDocument/2006/relationships/hyperlink" Target="https://www.arista.com/assets/data/pdf/Datasheets/Antenna-Selection-Guide.pdf" TargetMode="External" Id="rId29"/><Relationship Type="http://schemas.openxmlformats.org/officeDocument/2006/relationships/hyperlink" Target="https://www.arista.com/assets/data/pdf/Datasheets/Antenna-Selection-Guide.pdf" TargetMode="External" Id="rId30"/><Relationship Type="http://schemas.openxmlformats.org/officeDocument/2006/relationships/hyperlink" Target="https://www.arista.com/assets/data/pdf/Datasheets/Antenna-Selection-Guide.pdf" TargetMode="External" Id="rId31"/><Relationship Type="http://schemas.openxmlformats.org/officeDocument/2006/relationships/hyperlink" Target="https://www.arista.com/assets/data/pdf/Datasheets/Antenna-Selection-Guide.pdf" TargetMode="External" Id="rId32"/><Relationship Type="http://schemas.openxmlformats.org/officeDocument/2006/relationships/hyperlink" Target="https://www.arista.com/assets/data/pdf/Datasheets/Antenna-Selection-Guide.pdf" TargetMode="External" Id="rId33"/><Relationship Type="http://schemas.openxmlformats.org/officeDocument/2006/relationships/hyperlink" Target="https://www.arista.com/assets/data/pdf/Datasheets/Antenna-Selection-Guide.pdf" TargetMode="External" Id="rId34"/><Relationship Type="http://schemas.openxmlformats.org/officeDocument/2006/relationships/hyperlink" Target="https://www.arista.com/assets/data/pdf/Datasheets/Antenna-Selection-Guide.pdf" TargetMode="External" Id="rId35"/><Relationship Type="http://schemas.openxmlformats.org/officeDocument/2006/relationships/hyperlink" Target="https://www.arista.com/assets/data/pdf/Datasheets/Antenna-Selection-Guide.pdf" TargetMode="External" Id="rId36"/><Relationship Type="http://schemas.openxmlformats.org/officeDocument/2006/relationships/hyperlink" Target="https://www.arista.com/assets/data/pdf/Datasheets/Antenna-Selection-Guide.pdf" TargetMode="External" Id="rId37"/><Relationship Type="http://schemas.openxmlformats.org/officeDocument/2006/relationships/hyperlink" Target="https://www.arista.com/assets/data/pdf/Datasheets/Antenna-Selection-Guide.pdf" TargetMode="External" Id="rId38"/><Relationship Type="http://schemas.openxmlformats.org/officeDocument/2006/relationships/hyperlink" Target="https://www.arista.com/assets/data/pdf/Datasheets/Antenna-Selection-Guide.pdf" TargetMode="External" Id="rId39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https://www.arista.com/assets/data/pdf/Datasheets/7800R4-Series-AI-Spine-Datasheet.pdf" TargetMode="External" Id="rId1"/><Relationship Type="http://schemas.openxmlformats.org/officeDocument/2006/relationships/hyperlink" Target="https://www.arista.com/assets/data/pdf/Datasheets/7800R3-Data-Sheet.pdf" TargetMode="External" Id="rId2"/><Relationship Type="http://schemas.openxmlformats.org/officeDocument/2006/relationships/hyperlink" Target="https://www.arista.com/assets/data/pdf/Datasheets/7700R4-Distributed-Etherlink-Switch-Datasheet.pdf" TargetMode="External" Id="rId3"/><Relationship Type="http://schemas.openxmlformats.org/officeDocument/2006/relationships/hyperlink" Target="https://www.arista.com/assets/data/pdf/Datasheets/7500R3-Data-Sheet.pdf" TargetMode="External" Id="rId4"/><Relationship Type="http://schemas.openxmlformats.org/officeDocument/2006/relationships/hyperlink" Target="https://www.arista.com/assets/data/pdf/Datasheets/7500RDataSheet.pdf" TargetMode="External" Id="rId5"/><Relationship Type="http://schemas.openxmlformats.org/officeDocument/2006/relationships/hyperlink" Target="https://www.arista.com/assets/data/pdf/Datasheets/7300X3-Datasheet.pdf" TargetMode="External" Id="rId6"/><Relationship Type="http://schemas.openxmlformats.org/officeDocument/2006/relationships/hyperlink" Target="https://www.arista.com/assets/data/pdf/Datasheets/7388X5-Datasheet.pdf" TargetMode="External" Id="rId7"/><Relationship Type="http://schemas.openxmlformats.org/officeDocument/2006/relationships/hyperlink" Target="https://www.arista.com/assets/data/pdf/Datasheets/7368X4-Datasheet.pdf" TargetMode="External" Id="rId8"/><Relationship Type="http://schemas.openxmlformats.org/officeDocument/2006/relationships/hyperlink" Target="https://www.arista.com/assets/data/pdf/Datasheets/7358X4-Datasheet.pdf" TargetMode="External" Id="rId9"/><Relationship Type="http://schemas.openxmlformats.org/officeDocument/2006/relationships/hyperlink" Target="https://www.arista.com/assets/data/pdf/Datasheets/7280R4-Series-Datasheet.pdf" TargetMode="External" Id="rId10"/><Relationship Type="http://schemas.openxmlformats.org/officeDocument/2006/relationships/hyperlink" Target="https://www.arista.com/assets/data/pdf/Datasheets/7280R3A-Datasheet.pdf" TargetMode="External" Id="rId11"/><Relationship Type="http://schemas.openxmlformats.org/officeDocument/2006/relationships/hyperlink" Target="https://www.arista.com/assets/data/pdf/Datasheets/7280R3A-Modular-Datasheet.pdf" TargetMode="External" Id="rId12"/><Relationship Type="http://schemas.openxmlformats.org/officeDocument/2006/relationships/hyperlink" Target="https://www.arista.com/assets/data/pdf/Datasheets/7280R3-Data-Sheet.pdf" TargetMode="External" Id="rId13"/><Relationship Type="http://schemas.openxmlformats.org/officeDocument/2006/relationships/hyperlink" Target="https://www.arista.com/assets/data/pdf/Datasheets/7280R3-MACSec-Datasheet.pdf" TargetMode="External" Id="rId14"/><Relationship Type="http://schemas.openxmlformats.org/officeDocument/2006/relationships/hyperlink" Target="https://www.arista.com/assets/data/pdf/Datasheets/7135V-Datasheet.pdf" TargetMode="External" Id="rId15"/><Relationship Type="http://schemas.openxmlformats.org/officeDocument/2006/relationships/hyperlink" Target="https://www.arista.com/assets/data/pdf/Datasheets/7130LBR-Datasheet.pdf" TargetMode="External" Id="rId16"/><Relationship Type="http://schemas.openxmlformats.org/officeDocument/2006/relationships/hyperlink" Target="https://www.arista.com/assets/data/pdf/Datasheets/7132LB-Datasheet.pdf" TargetMode="External" Id="rId17"/><Relationship Type="http://schemas.openxmlformats.org/officeDocument/2006/relationships/hyperlink" Target="https://www.arista.com/assets/data/pdf/Datasheets/7135LB-Datasheet.pdf" TargetMode="External" Id="rId18"/><Relationship Type="http://schemas.openxmlformats.org/officeDocument/2006/relationships/hyperlink" Target="https://www.arista.com/assets/data/pdf/Datasheets/7130E-Series-Data-Sheet.pdf" TargetMode="External" Id="rId19"/><Relationship Type="http://schemas.openxmlformats.org/officeDocument/2006/relationships/hyperlink" Target="https://www.arista.com/assets/data/pdf/Datasheets/7130LS-Series-Data-Sheet.pdf" TargetMode="External" Id="rId20"/><Relationship Type="http://schemas.openxmlformats.org/officeDocument/2006/relationships/hyperlink" Target="https://www.arista.com/assets/data/pdf/Datasheets/7130-Connect-S-Series-Datasheet.pdf" TargetMode="External" Id="rId21"/><Relationship Type="http://schemas.openxmlformats.org/officeDocument/2006/relationships/hyperlink" Target="https://www.arista.com/assets/data/pdf/Datasheets/7060XE7-Datasheet.pdf" TargetMode="External" Id="rId22"/><Relationship Type="http://schemas.openxmlformats.org/officeDocument/2006/relationships/hyperlink" Target="https://www.arista.com/assets/data/pdf/Datasheets/7060XE7-Series-Quick-Look.pdf" TargetMode="External" Id="rId23"/><Relationship Type="http://schemas.openxmlformats.org/officeDocument/2006/relationships/hyperlink" Target="https://www.arista.com/assets/data/pdf/Datasheets/7060X6-Datasheet.pdf" TargetMode="External" Id="rId24"/><Relationship Type="http://schemas.openxmlformats.org/officeDocument/2006/relationships/hyperlink" Target="https://www.arista.com/assets/data/pdf/Datasheets/7060X5-Datasheet.pdf" TargetMode="External" Id="rId25"/><Relationship Type="http://schemas.openxmlformats.org/officeDocument/2006/relationships/hyperlink" Target="https://www.arista.com/assets/data/pdf/Datasheets/7060X4-Datasheet.pdf" TargetMode="External" Id="rId26"/><Relationship Type="http://schemas.openxmlformats.org/officeDocument/2006/relationships/hyperlink" Target="https://www.arista.com/assets/data/pdf/Datasheets/7060X_7260X_DS.pdf" TargetMode="External" Id="rId27"/><Relationship Type="http://schemas.openxmlformats.org/officeDocument/2006/relationships/hyperlink" Target="https://www.arista.com/assets/data/pdf/Datasheets/7260X3_Datasheet.pdf" TargetMode="External" Id="rId28"/><Relationship Type="http://schemas.openxmlformats.org/officeDocument/2006/relationships/hyperlink" Target="https://www.arista.com/assets/data/pdf/Datasheets/7050X4-Datasheet.pdf" TargetMode="External" Id="rId29"/><Relationship Type="http://schemas.openxmlformats.org/officeDocument/2006/relationships/hyperlink" Target="https://www.arista.com/assets/data/pdf/Datasheets/7050X3-Datasheet.pdf" TargetMode="External" Id="rId30"/><Relationship Type="http://schemas.openxmlformats.org/officeDocument/2006/relationships/hyperlink" Target="https://www.arista.com/assets/data/pdf/Datasheets/7050X3-macsec-Datasheet.pdf" TargetMode="External" Id="rId31"/><Relationship Type="http://schemas.openxmlformats.org/officeDocument/2006/relationships/hyperlink" Target="https://www.arista.com/assets/data/pdf/Datasheets/7050QX-32_32S_Datasheet_S.pdf" TargetMode="External" Id="rId32"/><Relationship Type="http://schemas.openxmlformats.org/officeDocument/2006/relationships/hyperlink" Target="https://www.arista.com/assets/data/pdf/Datasheets/7020R4-Datasheet.pdf" TargetMode="External" Id="rId33"/><Relationship Type="http://schemas.openxmlformats.org/officeDocument/2006/relationships/hyperlink" Target="https://www.arista.com/assets/data/pdf/Datasheets/7020R-48_Datasheet.pdf" TargetMode="External" Id="rId34"/><Relationship Type="http://schemas.openxmlformats.org/officeDocument/2006/relationships/hyperlink" Target="https://www.arista.com/assets/data/pdf/Datasheets/7010TX-Datasheet.pdf" TargetMode="External" Id="rId35"/><Relationship Type="http://schemas.openxmlformats.org/officeDocument/2006/relationships/hyperlink" Target="https://www.arista.com/assets/data/pdf/Datasheets/CCS-750-Series-Datasheet.pdf" TargetMode="External" Id="rId36"/><Relationship Type="http://schemas.openxmlformats.org/officeDocument/2006/relationships/hyperlink" Target="https://www.arista.com/assets/data/pdf/Datasheets/CCS-710HXP-Datasheet.pdf" TargetMode="External" Id="rId37"/><Relationship Type="http://schemas.openxmlformats.org/officeDocument/2006/relationships/hyperlink" Target="https://www.arista.com/assets/data/pdf/Datasheets/CCS-710XP-Datasheet.pdf" TargetMode="External" Id="rId38"/><Relationship Type="http://schemas.openxmlformats.org/officeDocument/2006/relationships/hyperlink" Target="https://www.arista.com/assets/data/pdf/Datasheets/CCS-720XPM-Datasheet.pdf" TargetMode="External" Id="rId39"/><Relationship Type="http://schemas.openxmlformats.org/officeDocument/2006/relationships/hyperlink" Target="https://www.arista.com/assets/data/pdf/Datasheets/CCS-720XP-Datasheet.pdf" TargetMode="External" Id="rId40"/><Relationship Type="http://schemas.openxmlformats.org/officeDocument/2006/relationships/hyperlink" Target="https://www.arista.com/assets/data/pdf/Datasheets/CCS-722XP-Datasheet.pdf" TargetMode="External" Id="rId41"/><Relationship Type="http://schemas.openxmlformats.org/officeDocument/2006/relationships/hyperlink" Target="https://www.arista.com/assets/data/pdf/Datasheets/CCS-720D-Datasheet.pdf" TargetMode="External" Id="rId42"/><Relationship Type="http://schemas.openxmlformats.org/officeDocument/2006/relationships/hyperlink" Target="https://www.arista.com/assets/data/pdf/Datasheets/CCS-710P-Datasheet.pdf" TargetMode="External" Id="rId43"/><Relationship Type="http://schemas.openxmlformats.org/officeDocument/2006/relationships/hyperlink" Target="https://www.arista.com/assets/data/pdf/Datasheets/Arista-C-460-Datasheet.pdf" TargetMode="External" Id="rId44"/><Relationship Type="http://schemas.openxmlformats.org/officeDocument/2006/relationships/hyperlink" Target="https://www.arista.com/assets/data/pdf/Datasheets/Arista-C-460D-Datasheet.pdf" TargetMode="External" Id="rId45"/><Relationship Type="http://schemas.openxmlformats.org/officeDocument/2006/relationships/hyperlink" Target="https://www.arista.com/assets/data/pdf/Datasheets/Arista-C-460E-Datasheet.pdf" TargetMode="External" Id="rId46"/><Relationship Type="http://schemas.openxmlformats.org/officeDocument/2006/relationships/hyperlink" Target="https://www.arista.com/assets/data/pdf/Datasheets/Arista-C-430-Datasheet.pdf" TargetMode="External" Id="rId47"/><Relationship Type="http://schemas.openxmlformats.org/officeDocument/2006/relationships/hyperlink" Target="https://www.arista.com/assets/data/pdf/Datasheets/Arista-C-400-Datasheet.pdf" TargetMode="External" Id="rId48"/><Relationship Type="http://schemas.openxmlformats.org/officeDocument/2006/relationships/hyperlink" Target="https://www.arista.com/assets/data/pdf/Datasheets/Arista-O-435-Datasheet.pdf" TargetMode="External" Id="rId49"/><Relationship Type="http://schemas.openxmlformats.org/officeDocument/2006/relationships/hyperlink" Target="https://www.arista.com/assets/data/pdf/Datasheets/Arista-O-435E-Datasheet.pdf" TargetMode="External" Id="rId50"/><Relationship Type="http://schemas.openxmlformats.org/officeDocument/2006/relationships/hyperlink" Target="https://www.arista.com/assets/data/pdf/Datasheets/Arista-O-405-Datasheet.pdf" TargetMode="External" Id="rId51"/><Relationship Type="http://schemas.openxmlformats.org/officeDocument/2006/relationships/hyperlink" Target="https://www.arista.com/assets/data/pdf/Datasheets/Arista-O-405E-Datasheet.pdf" TargetMode="External" Id="rId52"/><Relationship Type="http://schemas.openxmlformats.org/officeDocument/2006/relationships/hyperlink" Target="https://www.arista.com/assets/data/pdf/Datasheets/Arista-C-360-Datasheet.pdf" TargetMode="External" Id="rId53"/><Relationship Type="http://schemas.openxmlformats.org/officeDocument/2006/relationships/hyperlink" Target="https://www.arista.com/assets/data/pdf/Datasheets/Arista-C-330-Datasheet.pdf" TargetMode="External" Id="rId54"/><Relationship Type="http://schemas.openxmlformats.org/officeDocument/2006/relationships/hyperlink" Target="https://www.arista.com/assets/data/pdf/Datasheets/Arista-W-318-Datasheet.pdf" TargetMode="External" Id="rId55"/><Relationship Type="http://schemas.openxmlformats.org/officeDocument/2006/relationships/hyperlink" Target="https://www.arista.com/assets/data/pdf/Datasheets/Arista-C-260-Datasheet.pdf" TargetMode="External" Id="rId56"/><Relationship Type="http://schemas.openxmlformats.org/officeDocument/2006/relationships/hyperlink" Target="https://www.arista.com/assets/data/pdf/Datasheets/Arista-C-250-Datasheet.pdf" TargetMode="External" Id="rId57"/><Relationship Type="http://schemas.openxmlformats.org/officeDocument/2006/relationships/hyperlink" Target="https://www.arista.com/assets/data/pdf/Datasheets/Arista-C-230-Datasheet.pdf" TargetMode="External" Id="rId58"/><Relationship Type="http://schemas.openxmlformats.org/officeDocument/2006/relationships/hyperlink" Target="https://www.arista.com/assets/data/pdf/Datasheets/Arista-C-230E-Datasheet.pdf" TargetMode="External" Id="rId59"/><Relationship Type="http://schemas.openxmlformats.org/officeDocument/2006/relationships/hyperlink" Target="https://www.arista.com/assets/data/pdf/Datasheets/Arista-O235-Datasheet.pdf" TargetMode="External" Id="rId60"/><Relationship Type="http://schemas.openxmlformats.org/officeDocument/2006/relationships/hyperlink" Target="https://www.arista.com/assets/data/pdf/Datasheets/Arista-O235E-Datasheet.pdf" TargetMode="External" Id="rId61"/><Relationship Type="http://schemas.openxmlformats.org/officeDocument/2006/relationships/hyperlink" Target="https://www.arista.com/assets/data/pdf/Datasheets/Arista-C-200-Datasheet.pdf" TargetMode="External" Id="rId62"/><Relationship Type="http://schemas.openxmlformats.org/officeDocument/2006/relationships/hyperlink" Target="https://www.arista.com/en/products/platforms" TargetMode="External" Id="rId63"/><Relationship Type="http://schemas.openxmlformats.org/officeDocument/2006/relationships/hyperlink" Target="https://www.arista.com/en/products/wifi7-series" TargetMode="External" Id="rId64"/><Relationship Type="http://schemas.openxmlformats.org/officeDocument/2006/relationships/hyperlink" Target="https://www.arista.com/en/products/wifi6e-series" TargetMode="External" Id="rId65"/><Relationship Type="http://schemas.openxmlformats.org/officeDocument/2006/relationships/hyperlink" Target="https://www.arista.com/en/products/wifi6-series" TargetMode="External" Id="rId66"/><Relationship Type="http://schemas.openxmlformats.org/officeDocument/2006/relationships/hyperlink" Target="https://www.arista.com/en/products/cloudvision-cue" TargetMode="External" Id="rId67"/><Relationship Type="http://schemas.openxmlformats.org/officeDocument/2006/relationships/hyperlink" Target="https://www.arista.com/assets/data/pdf/Datasheets/AP-Comparison-Matrix-Datasheet-WiFi6.pdf" TargetMode="External" Id="rId68"/><Relationship Type="http://schemas.openxmlformats.org/officeDocument/2006/relationships/hyperlink" Target="https://www.arista.com/assets/data/pdf/Datasheets/AP-Mounting-Brackets-Datasheet.pdf" TargetMode="External" Id="rId69"/><Relationship Type="http://schemas.openxmlformats.org/officeDocument/2006/relationships/hyperlink" Target="https://www.arista.com/assets/data/pdf/Datasheets/Antenna-Selection-Guide.pdf" TargetMode="External" Id="rId70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7.xml.rels><Relationships xmlns="http://schemas.openxmlformats.org/package/2006/relationships"><Relationship Type="http://schemas.openxmlformats.org/officeDocument/2006/relationships/hyperlink" Target="https://www.arista.com/en/products/platforms" TargetMode="External" Id="rId1"/><Relationship Type="http://schemas.openxmlformats.org/officeDocument/2006/relationships/hyperlink" Target="https://www.arista.com/en/products/platforms" TargetMode="External" Id="rId2"/><Relationship Type="http://schemas.openxmlformats.org/officeDocument/2006/relationships/hyperlink" Target="https://www.arista.com/assets/data/pdf/Datasheets/AP-Comparison-Matrix-Datasheet-WiFi6.pdf" TargetMode="External" Id="rId3"/><Relationship Type="http://schemas.openxmlformats.org/officeDocument/2006/relationships/hyperlink" Target="https://www.arista.com/en/products/platforms" TargetMode="External" Id="rId4"/><Relationship Type="http://schemas.openxmlformats.org/officeDocument/2006/relationships/hyperlink" Target="https://www.arista.com/en/products/platforms" TargetMode="External" Id="rId5"/><Relationship Type="http://schemas.openxmlformats.org/officeDocument/2006/relationships/hyperlink" Target="https://www.arista.com/en/products/platforms" TargetMode="External" Id="rId6"/><Relationship Type="http://schemas.openxmlformats.org/officeDocument/2006/relationships/hyperlink" Target="https://www.arista.com/en/products/platforms" TargetMode="External" Id="rId7"/><Relationship Type="http://schemas.openxmlformats.org/officeDocument/2006/relationships/hyperlink" Target="https://www.arista.com/en/products/platforms" TargetMode="External" Id="rId8"/><Relationship Type="http://schemas.openxmlformats.org/officeDocument/2006/relationships/hyperlink" Target="https://www.arista.com/assets/data/pdf/Datasheets/7135V-Datasheet.pdf" TargetMode="External" Id="rId9"/><Relationship Type="http://schemas.openxmlformats.org/officeDocument/2006/relationships/hyperlink" Target="https://www.arista.com/en/products/platforms" TargetMode="External" Id="rId10"/><Relationship Type="http://schemas.openxmlformats.org/officeDocument/2006/relationships/hyperlink" Target="https://www.arista.com/en/products/platforms" TargetMode="External" Id="rId11"/><Relationship Type="http://schemas.openxmlformats.org/officeDocument/2006/relationships/hyperlink" Target="https://www.arista.com/en/products/platforms" TargetMode="External" Id="rId12"/><Relationship Type="http://schemas.openxmlformats.org/officeDocument/2006/relationships/hyperlink" Target="https://www.arista.com/assets/data/pdf/Datasheets/Antenna-Selection-Guide.pdf" TargetMode="External" Id="rId13"/><Relationship Type="http://schemas.openxmlformats.org/officeDocument/2006/relationships/hyperlink" Target="https://www.arista.com/assets/data/pdf/Datasheets/Arista-O-405E-Datasheet.pdf" TargetMode="External" Id="rId14"/><Relationship Type="http://schemas.openxmlformats.org/officeDocument/2006/relationships/hyperlink" Target="https://www.arista.com/assets/data/pdf/Datasheets/Arista-C-250-Datasheet.pdf" TargetMode="External" Id="rId15"/><Relationship Type="http://schemas.openxmlformats.org/officeDocument/2006/relationships/hyperlink" Target="https://www.arista.com/en/products/platforms" TargetMode="External" Id="rId16"/></Relationships>
</file>

<file path=xl/worksheets/sheet1.xml><?xml version="1.0" encoding="utf-8"?>
<worksheet xmlns="http://schemas.openxmlformats.org/spreadsheetml/2006/main">
  <sheetPr>
    <tabColor rgb="000F6B78"/>
    <outlinePr summaryBelow="1" summaryRight="1"/>
    <pageSetUpPr fitToPage="1"/>
  </sheetPr>
  <dimension ref="A1:H30"/>
  <sheetViews>
    <sheetView showGridLines="0" zoomScale="9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2" customWidth="1" min="3" max="3"/>
    <col width="3" customWidth="1" min="4" max="4"/>
    <col width="18" customWidth="1" min="5" max="5"/>
    <col width="18" customWidth="1" min="6" max="6"/>
    <col width="12" customWidth="1" min="7" max="7"/>
    <col width="8" customWidth="1" min="8" max="8"/>
  </cols>
  <sheetData>
    <row r="1" ht="34" customHeight="1">
      <c r="A1" s="1" t="inlineStr">
        <is>
          <t>Arista AP 및 Switch 전체 제품군 정리</t>
        </is>
      </c>
    </row>
    <row r="2" ht="24" customHeight="1">
      <c r="A2" s="2" t="inlineStr">
        <is>
          <t>공식 Arista 제품 페이지·데이터시트·비교표 기준 | 검토 기준일 2026-09-08</t>
        </is>
      </c>
    </row>
    <row r="3" ht="38" customHeight="1">
      <c r="A3" s="3" t="inlineStr">
        <is>
          <t>현행 공식 포트폴리오와 공식 사이트에 유지되는 일부 레거시 문서를 함께 포함합니다. 구매 가능 여부·EOS/EOL·국가별 무선 규제는 견적/BOM 시점에 Arista 또는 공인 파트너와 재검증하십시오.</t>
        </is>
      </c>
    </row>
    <row r="4"/>
    <row r="5">
      <c r="A5" s="4" t="inlineStr">
        <is>
          <t>유선 스위치</t>
        </is>
      </c>
      <c r="E5" s="4" t="inlineStr">
        <is>
          <t>무선 및 문서</t>
        </is>
      </c>
    </row>
    <row r="6" ht="24" customHeight="1">
      <c r="A6" s="5" t="inlineStr">
        <is>
          <t>전체 모델/기능 SKU 수</t>
        </is>
      </c>
      <c r="C6" s="6" t="n">
        <f>COUNTA('유선 스위치'!D6:D2000)</f>
        <v>126</v>
      </c>
      <c r="E6" s="5" t="inlineStr">
        <is>
          <t>AP 모델 수</t>
        </is>
      </c>
      <c r="G6" s="6" t="n">
        <f>COUNTA('무선 AP'!D6:D2000)</f>
        <v>19</v>
      </c>
    </row>
    <row r="7" ht="24" customHeight="1">
      <c r="A7" s="5" t="inlineStr">
        <is>
          <t>DCS 행 수</t>
        </is>
      </c>
      <c r="C7" s="6" t="n">
        <f>COUNTIF('유선 스위치'!B6:B2000,"DCS")</f>
        <v>91</v>
      </c>
      <c r="E7" s="5" t="inlineStr">
        <is>
          <t>Wi-Fi 7 AP</t>
        </is>
      </c>
      <c r="G7" s="6" t="n">
        <f>COUNTIF('무선 AP'!B6:B2000,"Wi-Fi 7")</f>
        <v>9</v>
      </c>
    </row>
    <row r="8" ht="24" customHeight="1">
      <c r="A8" s="5" t="inlineStr">
        <is>
          <t>CCS 행 수</t>
        </is>
      </c>
      <c r="C8" s="6" t="n">
        <f>COUNTIF('유선 스위치'!B6:B2000,"CCS")</f>
        <v>35</v>
      </c>
      <c r="E8" s="5" t="inlineStr">
        <is>
          <t>Wi-Fi 6E AP</t>
        </is>
      </c>
      <c r="G8" s="6" t="n">
        <f>COUNTIF('무선 AP'!B6:B2000,"Wi-Fi 6E")</f>
        <v>3</v>
      </c>
    </row>
    <row r="9" ht="24" customHeight="1">
      <c r="A9" s="5" t="inlineStr">
        <is>
          <t>AI 용도 적용 행</t>
        </is>
      </c>
      <c r="C9" s="6" t="n">
        <f>COUNTIF('유선 스위치'!H6:H2000,"주력")+COUNTIF('유선 스위치'!H6:H2000,"적합")+COUNTIF('유선 스위치'!H6:H2000,"보조")+COUNTIF('유선 스위치'!H6:H2000,"특화")</f>
        <v>56</v>
      </c>
      <c r="E9" s="5" t="inlineStr">
        <is>
          <t>Wi-Fi 6 AP</t>
        </is>
      </c>
      <c r="G9" s="6" t="n">
        <f>COUNTIF('무선 AP'!B6:B2000,"Wi-Fi 6")</f>
        <v>7</v>
      </c>
    </row>
    <row r="10" ht="24" customHeight="1">
      <c r="A10" s="5" t="inlineStr">
        <is>
          <t>DC 용도 적용 행</t>
        </is>
      </c>
      <c r="C10" s="6" t="n">
        <f>COUNTIF('유선 스위치'!I6:I2000,"주력")+COUNTIF('유선 스위치'!I6:I2000,"적합")+COUNTIF('유선 스위치'!I6:I2000,"보조")+COUNTIF('유선 스위치'!I6:I2000,"특화")</f>
        <v>91</v>
      </c>
      <c r="E10" s="5" t="inlineStr">
        <is>
          <t>외장 안테나형 AP</t>
        </is>
      </c>
      <c r="G10" s="6" t="n">
        <f>COUNTIF('무선 AP'!F6:F2000,"외장 안테나")</f>
        <v>5</v>
      </c>
    </row>
    <row r="11" ht="24" customHeight="1">
      <c r="A11" s="5" t="inlineStr">
        <is>
          <t>Campus 용도 적용 행</t>
        </is>
      </c>
      <c r="C11" s="6" t="n">
        <f>COUNTIF('유선 스위치'!J6:J2000,"주력")+COUNTIF('유선 스위치'!J6:J2000,"적합")+COUNTIF('유선 스위치'!J6:J2000,"보조")+COUNTIF('유선 스위치'!J6:J2000,"특화")</f>
        <v>41</v>
      </c>
      <c r="E11" s="5" t="inlineStr">
        <is>
          <t>마운트 옵션</t>
        </is>
      </c>
      <c r="G11" s="6" t="n">
        <f>COUNTA('마운트킷'!B6:B2000)</f>
        <v>8</v>
      </c>
    </row>
    <row r="12" ht="24" customHeight="1">
      <c r="A12" s="5" t="inlineStr">
        <is>
          <t>공식 스위치 PDF 수</t>
        </is>
      </c>
      <c r="C12" s="6" t="n">
        <f>43</f>
        <v>43</v>
      </c>
      <c r="E12" s="5" t="inlineStr">
        <is>
          <t>외장 안테나 모델</t>
        </is>
      </c>
      <c r="G12" s="6" t="n">
        <f>COUNTA('외장 안테나'!C6:C2000)</f>
        <v>39</v>
      </c>
    </row>
    <row r="13" ht="24" customHeight="1">
      <c r="E13" s="5" t="inlineStr">
        <is>
          <t>공식 문서/페이지</t>
        </is>
      </c>
      <c r="G13" s="6" t="n">
        <f>COUNTA('데이터시트 목록'!D6:D500)</f>
        <v>70</v>
      </c>
    </row>
    <row r="14"/>
    <row r="15"/>
    <row r="16">
      <c r="A16" s="7" t="inlineStr">
        <is>
          <t>핵심 범위 및 해석 주의사항</t>
        </is>
      </c>
    </row>
    <row r="17" ht="35" customHeight="1">
      <c r="A17" s="8" t="inlineStr">
        <is>
          <t>범위</t>
        </is>
      </c>
      <c r="B17" s="9" t="inlineStr">
        <is>
          <t>Switch는 공식 플랫폼 비교 페이지와 각 PDF 주문정보에서 확인된 base model/기능 SKU를 정리했습니다. 전원·airflow·메모리·라이선스·bundle suffix는 별도 제품으로 중복 계상하지 않고 변형 SKU 열에 묶었습니다.</t>
        </is>
      </c>
    </row>
    <row r="18" ht="35" customHeight="1">
      <c r="A18" s="8" t="inlineStr">
        <is>
          <t>CCS/DCS</t>
        </is>
      </c>
      <c r="B18" s="9" t="inlineStr">
        <is>
          <t>DCS는 Data Center Switch 계열, CCS는 Cognitive Campus Switch 계열로 분리했습니다. 7010X·7020R 등 교차 용도 가능 모델은 공식 SKU 계열을 우선했습니다.</t>
        </is>
      </c>
    </row>
    <row r="19" ht="35" customHeight="1">
      <c r="A19" s="8" t="inlineStr">
        <is>
          <t>용도</t>
        </is>
      </c>
      <c r="B19" s="9" t="inlineStr">
        <is>
          <t>AI/DC/Campus의 주력·적합·보조·특화 평가는 공식 positioning과 사양을 바탕으로 한 실무 분류이며, 지원 기능·라이선스 보증을 대체하지 않습니다.</t>
        </is>
      </c>
    </row>
    <row r="20" ht="35" customHeight="1">
      <c r="A20" s="8" t="inlineStr">
        <is>
          <t>무선</t>
        </is>
      </c>
      <c r="B20" s="9" t="inlineStr">
        <is>
          <t>AP 19개 모델과 공용 mounting option 8종, 공식 Antenna Selection Guide의 외장 안테나 39종을 별도 시트에 정리했습니다.</t>
        </is>
      </c>
    </row>
    <row r="21" ht="44" customHeight="1">
      <c r="A21" s="10" t="inlineStr">
        <is>
          <t>O-405E 경고</t>
        </is>
      </c>
      <c r="B21" s="11" t="inlineStr">
        <is>
          <t>O-405E 데이터시트는 4x N-Type 외장 커넥터를 명시하지만 2026-01 Antenna Selection Guide의 AP 호환 열에는 O-405E가 없습니다. 국가/도메인별 인증, connector, EIRP를 BOM 단계에서 반드시 확인하십시오.</t>
        </is>
      </c>
    </row>
    <row r="22" ht="44" customHeight="1">
      <c r="A22" s="10" t="inlineStr">
        <is>
          <t>C-250 경고</t>
        </is>
      </c>
      <c r="B22" s="11" t="inlineStr">
        <is>
          <t>C-250 개별 PDF의 Key Specifications와 본문 사이 일부 MIMO 표기가 상충합니다. 본 파일은 최신 AP 비교표와 개별 문서를 함께 표시하며 발주 전 최신 ordering guide 확인이 필요합니다.</t>
        </is>
      </c>
    </row>
    <row r="23" ht="35" customHeight="1">
      <c r="A23" s="8" t="inlineStr">
        <is>
          <t>제외</t>
        </is>
      </c>
      <c r="B23" s="9" t="inlineStr">
        <is>
          <t>AWE 7200R, 5000 Series 및 VeloCloud는 WAN router/SD-WAN appliance 범주로 판단하여 Switch 제품 행 수에서 제외했습니다.</t>
        </is>
      </c>
    </row>
    <row r="24"/>
    <row r="25"/>
    <row r="26">
      <c r="A26" s="12" t="inlineStr">
        <is>
          <t>공식 시작점</t>
        </is>
      </c>
    </row>
    <row r="27" ht="24" customHeight="1">
      <c r="A27" s="5" t="inlineStr">
        <is>
          <t>Switching Platforms</t>
        </is>
      </c>
      <c r="B27" s="13" t="inlineStr">
        <is>
          <t>https://www.arista.com/en/products/platforms</t>
        </is>
      </c>
    </row>
    <row r="28" ht="24" customHeight="1">
      <c r="A28" s="5" t="inlineStr">
        <is>
          <t>AP Comparison Matrix</t>
        </is>
      </c>
      <c r="B28" s="13" t="inlineStr">
        <is>
          <t>https://www.arista.com/assets/data/pdf/Datasheets/AP-Comparison-Matrix-Datasheet-WiFi6.pdf</t>
        </is>
      </c>
    </row>
    <row r="29" ht="24" customHeight="1">
      <c r="A29" s="5" t="inlineStr">
        <is>
          <t>AP Mounting Brackets</t>
        </is>
      </c>
      <c r="B29" s="13" t="inlineStr">
        <is>
          <t>https://www.arista.com/assets/data/pdf/Datasheets/AP-Mounting-Brackets-Datasheet.pdf</t>
        </is>
      </c>
    </row>
    <row r="30" ht="24" customHeight="1">
      <c r="A30" s="5" t="inlineStr">
        <is>
          <t>Antenna Selection Guide</t>
        </is>
      </c>
      <c r="B30" s="13" t="inlineStr">
        <is>
          <t>https://www.arista.com/assets/data/pdf/Datasheets/Antenna-Selection-Guide.pdf</t>
        </is>
      </c>
    </row>
  </sheetData>
  <mergeCells count="33">
    <mergeCell ref="E12:F12"/>
    <mergeCell ref="A11:B11"/>
    <mergeCell ref="B30:H30"/>
    <mergeCell ref="A1:H1"/>
    <mergeCell ref="B20:H20"/>
    <mergeCell ref="E8:F8"/>
    <mergeCell ref="A6:B6"/>
    <mergeCell ref="A7:B7"/>
    <mergeCell ref="A5:C5"/>
    <mergeCell ref="E10:F10"/>
    <mergeCell ref="A16:H16"/>
    <mergeCell ref="E13:F13"/>
    <mergeCell ref="E9:F9"/>
    <mergeCell ref="A12:B12"/>
    <mergeCell ref="B22:H22"/>
    <mergeCell ref="A3:H3"/>
    <mergeCell ref="E6:F6"/>
    <mergeCell ref="A26:H26"/>
    <mergeCell ref="B18:H18"/>
    <mergeCell ref="B27:H27"/>
    <mergeCell ref="B21:H21"/>
    <mergeCell ref="A2:H2"/>
    <mergeCell ref="E11:F11"/>
    <mergeCell ref="A8:B8"/>
    <mergeCell ref="B23:H23"/>
    <mergeCell ref="B17:H17"/>
    <mergeCell ref="E7:F7"/>
    <mergeCell ref="E5:G5"/>
    <mergeCell ref="A10:B10"/>
    <mergeCell ref="B29:H29"/>
    <mergeCell ref="A9:B9"/>
    <mergeCell ref="B19:H19"/>
    <mergeCell ref="B28:H28"/>
  </mergeCells>
  <hyperlinks>
    <hyperlink xmlns:r="http://schemas.openxmlformats.org/officeDocument/2006/relationships" ref="B27" r:id="rId1"/>
    <hyperlink xmlns:r="http://schemas.openxmlformats.org/officeDocument/2006/relationships" ref="B28" r:id="rId2"/>
    <hyperlink xmlns:r="http://schemas.openxmlformats.org/officeDocument/2006/relationships" ref="B29" r:id="rId3"/>
    <hyperlink xmlns:r="http://schemas.openxmlformats.org/officeDocument/2006/relationships" ref="B30" r:id="rId4"/>
  </hyperlinks>
  <pageMargins left="0.25" right="0.25" top="0.5" bottom="0.5" header="0.5" footer="0.5"/>
  <pageSetup orientation="landscape" fitToWidth="1"/>
</worksheet>
</file>

<file path=xl/worksheets/sheet2.xml><?xml version="1.0" encoding="utf-8"?>
<worksheet xmlns="http://schemas.openxmlformats.org/spreadsheetml/2006/main">
  <sheetPr>
    <tabColor rgb="000F6B78"/>
    <outlinePr summaryBelow="1" summaryRight="1"/>
    <pageSetUpPr fitToPage="1"/>
  </sheetPr>
  <dimension ref="A1:AE131"/>
  <sheetViews>
    <sheetView showGridLines="0" zoomScale="8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4" customWidth="1" min="3" max="3"/>
    <col width="24" customWidth="1" min="4" max="4"/>
    <col width="31" customWidth="1" min="5" max="5"/>
    <col width="21" customWidth="1" min="6" max="6"/>
    <col width="34" customWidth="1" min="7" max="7"/>
    <col width="10" customWidth="1" min="8" max="8"/>
    <col width="10" customWidth="1" min="9" max="9"/>
    <col width="12" customWidth="1" min="10" max="10"/>
    <col width="38" customWidth="1" min="11" max="11"/>
    <col width="23" customWidth="1" min="12" max="12"/>
    <col width="16" customWidth="1" min="13" max="13"/>
    <col width="12" customWidth="1" min="14" max="14"/>
    <col width="21" customWidth="1" min="15" max="15"/>
    <col width="25" customWidth="1" min="16" max="16"/>
    <col width="28" customWidth="1" min="17" max="17"/>
    <col width="48" customWidth="1" min="18" max="18"/>
    <col width="55" customWidth="1" min="19" max="19"/>
    <col width="42" customWidth="1" min="20" max="20"/>
    <col width="38" customWidth="1" min="21" max="21"/>
    <col width="24" customWidth="1" min="22" max="22"/>
    <col width="22" customWidth="1" min="23" max="23"/>
    <col width="20" customWidth="1" min="24" max="24"/>
    <col width="34" customWidth="1" min="25" max="25"/>
    <col width="24" customWidth="1" min="26" max="26"/>
    <col width="30" customWidth="1" min="27" max="27"/>
    <col width="28" customWidth="1" min="28" max="28"/>
    <col width="34" customWidth="1" min="29" max="29"/>
    <col width="32" customWidth="1" min="30" max="30"/>
    <col width="32" customWidth="1" min="31" max="31"/>
  </cols>
  <sheetData>
    <row r="1" ht="30" customHeight="1">
      <c r="A1" s="1" t="inlineStr">
        <is>
          <t>Arista 유선 스위치 제품군</t>
        </is>
      </c>
    </row>
    <row r="2" ht="22" customHeight="1">
      <c r="A2" s="14" t="inlineStr">
        <is>
          <t>DCS / CCS 분류 및 AI·DC·Campus 용도 정리 | 기준일 2026-09-08</t>
        </is>
      </c>
    </row>
    <row r="3" ht="42" customHeight="1">
      <c r="A3" s="15" t="inlineStr">
        <is>
          <t>공식 플랫폼 비교 페이지와 데이터시트의 base model/ordering information을 통합했습니다. 우측 Specifications 열은 각 행의 공식 데이터시트를 전사했습니다. 녹색=전사값, 주황=미기재/적용 주의.</t>
        </is>
      </c>
    </row>
    <row r="4" ht="24" customHeight="1">
      <c r="A4" s="49" t="inlineStr">
        <is>
          <t>포트폴리오 분류·용도·출처</t>
        </is>
      </c>
      <c r="U4" s="50" t="inlineStr">
        <is>
          <t>Specifications — 공식 데이터시트 전사</t>
        </is>
      </c>
    </row>
    <row r="5" ht="42" customHeight="1">
      <c r="A5" s="16" t="inlineStr">
        <is>
          <t>No</t>
        </is>
      </c>
      <c r="B5" s="16" t="inlineStr">
        <is>
          <t>분류(CCS/DCS)</t>
        </is>
      </c>
      <c r="C5" s="16" t="inlineStr">
        <is>
          <t>제품군</t>
        </is>
      </c>
      <c r="D5" s="16" t="inlineStr">
        <is>
          <t>모델/기본 SKU</t>
        </is>
      </c>
      <c r="E5" s="16" t="inlineStr">
        <is>
          <t>변형 SKU/구성</t>
        </is>
      </c>
      <c r="F5" s="16" t="inlineStr">
        <is>
          <t>형태</t>
        </is>
      </c>
      <c r="G5" s="16" t="inlineStr">
        <is>
          <t>주요 용도</t>
        </is>
      </c>
      <c r="H5" s="16" t="inlineStr">
        <is>
          <t>AI 적합도</t>
        </is>
      </c>
      <c r="I5" s="16" t="inlineStr">
        <is>
          <t>DC 적합도</t>
        </is>
      </c>
      <c r="J5" s="16" t="inlineStr">
        <is>
          <t>Campus 적합도</t>
        </is>
      </c>
      <c r="K5" s="16" t="inlineStr">
        <is>
          <t>포트/속도 요약</t>
        </is>
      </c>
      <c r="L5" s="16" t="inlineStr">
        <is>
          <t>스위칭 용량</t>
        </is>
      </c>
      <c r="M5" s="16" t="inlineStr">
        <is>
          <t>지연</t>
        </is>
      </c>
      <c r="N5" s="16" t="inlineStr">
        <is>
          <t>크기</t>
        </is>
      </c>
      <c r="O5" s="16" t="inlineStr">
        <is>
          <t>PoE</t>
        </is>
      </c>
      <c r="P5" s="16" t="inlineStr">
        <is>
          <t>MACsec/TunnelSec</t>
        </is>
      </c>
      <c r="Q5" s="16" t="inlineStr">
        <is>
          <t>상태</t>
        </is>
      </c>
      <c r="R5" s="16" t="inlineStr">
        <is>
          <t>공식 제품 페이지</t>
        </is>
      </c>
      <c r="S5" s="16" t="inlineStr">
        <is>
          <t>공식 데이터시트</t>
        </is>
      </c>
      <c r="T5" s="16" t="inlineStr">
        <is>
          <t>비고</t>
        </is>
      </c>
      <c r="U5" s="16" t="inlineStr">
        <is>
          <t>Ports</t>
        </is>
      </c>
      <c r="V5" s="16" t="inlineStr">
        <is>
          <t>Throughput</t>
        </is>
      </c>
      <c r="W5" s="16" t="inlineStr">
        <is>
          <t>Packets/Second</t>
        </is>
      </c>
      <c r="X5" s="16" t="inlineStr">
        <is>
          <t>Latency</t>
        </is>
      </c>
      <c r="Y5" s="16" t="inlineStr">
        <is>
          <t>CPU</t>
        </is>
      </c>
      <c r="Z5" s="16" t="inlineStr">
        <is>
          <t>System Memory</t>
        </is>
      </c>
      <c r="AA5" s="16" t="inlineStr">
        <is>
          <t>Flash Storage Memory</t>
        </is>
      </c>
      <c r="AB5" s="16" t="inlineStr">
        <is>
          <t>Packet Buffer Memory</t>
        </is>
      </c>
      <c r="AC5" s="16" t="inlineStr">
        <is>
          <t>Hot-swap Power Supplies</t>
        </is>
      </c>
      <c r="AD5" s="16" t="inlineStr">
        <is>
          <t>Hot-swappable Fans</t>
        </is>
      </c>
      <c r="AE5" s="16" t="inlineStr">
        <is>
          <t>Reversible Airflow</t>
        </is>
      </c>
    </row>
    <row r="6" ht="72" customHeight="1">
      <c r="A6" s="17" t="n">
        <v>1</v>
      </c>
      <c r="B6" s="18" t="inlineStr">
        <is>
          <t>DCS</t>
        </is>
      </c>
      <c r="C6" s="19" t="inlineStr">
        <is>
          <t>7800R4</t>
        </is>
      </c>
      <c r="D6" s="19" t="inlineStr">
        <is>
          <t>7816LR4</t>
        </is>
      </c>
      <c r="E6" s="19" t="inlineStr">
        <is>
          <t>DCS-7816LR4 계열</t>
        </is>
      </c>
      <c r="F6" s="19" t="inlineStr">
        <is>
          <t>모듈형 섀시</t>
        </is>
      </c>
      <c r="G6" s="19" t="inlineStr">
        <is>
          <t>AI/ML 초대형 spine, hyperscale DC, service provider</t>
        </is>
      </c>
      <c r="H6" s="20" t="inlineStr">
        <is>
          <t>주력</t>
        </is>
      </c>
      <c r="I6" s="20" t="inlineStr">
        <is>
          <t>주력</t>
        </is>
      </c>
      <c r="J6" s="17" t="inlineStr">
        <is>
          <t>-</t>
        </is>
      </c>
      <c r="K6" s="19" t="inlineStr">
        <is>
          <t>576x800G / 1152x400G</t>
        </is>
      </c>
      <c r="L6" s="19" t="inlineStr">
        <is>
          <t>460 Tbps (920 Tbps FDX)</t>
        </is>
      </c>
      <c r="M6" s="19" t="inlineStr">
        <is>
          <t>&lt;4 us</t>
        </is>
      </c>
      <c r="N6" s="19" t="inlineStr">
        <is>
          <t>32RU</t>
        </is>
      </c>
      <c r="O6" s="19" t="inlineStr">
        <is>
          <t>-</t>
        </is>
      </c>
      <c r="P6" s="19" t="inlineStr">
        <is>
          <t>TunnelSec</t>
        </is>
      </c>
      <c r="Q6" s="19" t="inlineStr">
        <is>
          <t>현행 공식 플랫폼/데이터시트 등재</t>
        </is>
      </c>
      <c r="R6" s="21" t="inlineStr">
        <is>
          <t>https://www.arista.com/en/products/platforms</t>
        </is>
      </c>
      <c r="S6" s="21" t="inlineStr">
        <is>
          <t>https://www.arista.com/assets/data/pdf/Datasheets/7800R4-Series-AI-Spine-Datasheet.pdf</t>
        </is>
      </c>
      <c r="T6" s="19" t="inlineStr"/>
      <c r="U6" s="51" t="inlineStr">
        <is>
          <t>576x800G / 1152x400G</t>
        </is>
      </c>
      <c r="V6" s="51" t="inlineStr">
        <is>
          <t>460 (920) Tbps</t>
        </is>
      </c>
      <c r="W6" s="51" t="inlineStr">
        <is>
          <t>Up to 173 Bpps (10.8 Bpps/line card)</t>
        </is>
      </c>
      <c r="X6" s="51" t="inlineStr">
        <is>
          <t>&lt;3 µs (64-byte, platform)</t>
        </is>
      </c>
      <c r="Y6" s="51" t="inlineStr">
        <is>
          <t>1.9 GHz 6-core / 2.0 GHz 8-core / 2.0 GHz 10-core x86-64 (Supervisor option)</t>
        </is>
      </c>
      <c r="Z6" s="51" t="inlineStr">
        <is>
          <t>64 / 128 GB (Supervisor option)</t>
        </is>
      </c>
      <c r="AA6" s="52" t="inlineStr">
        <is>
          <t>240 / 480 GB SSD; system flash separately not stated</t>
        </is>
      </c>
      <c r="AB6" s="51" t="inlineStr">
        <is>
          <t>Up to 32 GB per line card</t>
        </is>
      </c>
      <c r="AC6" s="51" t="inlineStr">
        <is>
          <t>Yes; 24 hot-swap PSUs</t>
        </is>
      </c>
      <c r="AD6" s="51" t="inlineStr">
        <is>
          <t>Yes; 16 hot-swappable fan/fabric modules</t>
        </is>
      </c>
      <c r="AE6" s="51" t="inlineStr">
        <is>
          <t>No — front-to-rear only</t>
        </is>
      </c>
    </row>
    <row r="7" ht="72" customHeight="1">
      <c r="A7" s="22" t="n">
        <v>2</v>
      </c>
      <c r="B7" s="18" t="inlineStr">
        <is>
          <t>DCS</t>
        </is>
      </c>
      <c r="C7" s="23" t="inlineStr">
        <is>
          <t>7800R4</t>
        </is>
      </c>
      <c r="D7" s="23" t="inlineStr">
        <is>
          <t>7812R4</t>
        </is>
      </c>
      <c r="E7" s="23" t="inlineStr">
        <is>
          <t>DCS-7812R4 계열</t>
        </is>
      </c>
      <c r="F7" s="23" t="inlineStr">
        <is>
          <t>모듈형 섀시</t>
        </is>
      </c>
      <c r="G7" s="23" t="inlineStr">
        <is>
          <t>AI/ML spine, hyperscale DC</t>
        </is>
      </c>
      <c r="H7" s="20" t="inlineStr">
        <is>
          <t>주력</t>
        </is>
      </c>
      <c r="I7" s="20" t="inlineStr">
        <is>
          <t>주력</t>
        </is>
      </c>
      <c r="J7" s="22" t="inlineStr">
        <is>
          <t>-</t>
        </is>
      </c>
      <c r="K7" s="23" t="inlineStr">
        <is>
          <t>432x800G / 864x400G</t>
        </is>
      </c>
      <c r="L7" s="23" t="inlineStr">
        <is>
          <t>345 Tbps (690 Tbps FDX)</t>
        </is>
      </c>
      <c r="M7" s="23" t="inlineStr">
        <is>
          <t>&lt;4 us</t>
        </is>
      </c>
      <c r="N7" s="23" t="inlineStr">
        <is>
          <t>23RU</t>
        </is>
      </c>
      <c r="O7" s="23" t="inlineStr">
        <is>
          <t>-</t>
        </is>
      </c>
      <c r="P7" s="23" t="inlineStr">
        <is>
          <t>TunnelSec</t>
        </is>
      </c>
      <c r="Q7" s="23" t="inlineStr">
        <is>
          <t>현행 공식 플랫폼/데이터시트 등재</t>
        </is>
      </c>
      <c r="R7" s="24" t="inlineStr">
        <is>
          <t>https://www.arista.com/en/products/platforms</t>
        </is>
      </c>
      <c r="S7" s="24" t="inlineStr">
        <is>
          <t>https://www.arista.com/assets/data/pdf/Datasheets/7800R4-Series-AI-Spine-Datasheet.pdf</t>
        </is>
      </c>
      <c r="T7" s="23" t="inlineStr"/>
      <c r="U7" s="53" t="inlineStr">
        <is>
          <t>432x800G / 864x400G</t>
        </is>
      </c>
      <c r="V7" s="53" t="inlineStr">
        <is>
          <t>345 (690) Tbps</t>
        </is>
      </c>
      <c r="W7" s="53" t="inlineStr">
        <is>
          <t>Up to 130 Bpps (10.8 Bpps/line card)</t>
        </is>
      </c>
      <c r="X7" s="53" t="inlineStr">
        <is>
          <t>&lt;3 µs (64-byte, platform)</t>
        </is>
      </c>
      <c r="Y7" s="53" t="inlineStr">
        <is>
          <t>1.9 GHz 6-core / 2.0 GHz 8-core / 2.0 GHz 10-core x86-64 (Supervisor option)</t>
        </is>
      </c>
      <c r="Z7" s="53" t="inlineStr">
        <is>
          <t>64 / 128 GB (Supervisor option)</t>
        </is>
      </c>
      <c r="AA7" s="52" t="inlineStr">
        <is>
          <t>240 / 480 GB SSD; system flash separately not stated</t>
        </is>
      </c>
      <c r="AB7" s="53" t="inlineStr">
        <is>
          <t>Up to 32 GB per line card</t>
        </is>
      </c>
      <c r="AC7" s="53" t="inlineStr">
        <is>
          <t>Yes; 18 hot-swap PSUs</t>
        </is>
      </c>
      <c r="AD7" s="53" t="inlineStr">
        <is>
          <t>Yes; 12 hot-swappable fan/fabric modules</t>
        </is>
      </c>
      <c r="AE7" s="53" t="inlineStr">
        <is>
          <t>No — front-to-rear only</t>
        </is>
      </c>
    </row>
    <row r="8" ht="72" customHeight="1">
      <c r="A8" s="17" t="n">
        <v>3</v>
      </c>
      <c r="B8" s="18" t="inlineStr">
        <is>
          <t>DCS</t>
        </is>
      </c>
      <c r="C8" s="19" t="inlineStr">
        <is>
          <t>7800R4</t>
        </is>
      </c>
      <c r="D8" s="19" t="inlineStr">
        <is>
          <t>7808R4</t>
        </is>
      </c>
      <c r="E8" s="19" t="inlineStr">
        <is>
          <t>DCS-7808R4 계열</t>
        </is>
      </c>
      <c r="F8" s="19" t="inlineStr">
        <is>
          <t>모듈형 섀시</t>
        </is>
      </c>
      <c r="G8" s="19" t="inlineStr">
        <is>
          <t>AI/ML spine, large-scale DC</t>
        </is>
      </c>
      <c r="H8" s="20" t="inlineStr">
        <is>
          <t>주력</t>
        </is>
      </c>
      <c r="I8" s="20" t="inlineStr">
        <is>
          <t>주력</t>
        </is>
      </c>
      <c r="J8" s="17" t="inlineStr">
        <is>
          <t>-</t>
        </is>
      </c>
      <c r="K8" s="19" t="inlineStr">
        <is>
          <t>288x800G / 576x400G</t>
        </is>
      </c>
      <c r="L8" s="19" t="inlineStr">
        <is>
          <t>230 Tbps (460 Tbps FDX)</t>
        </is>
      </c>
      <c r="M8" s="19" t="inlineStr">
        <is>
          <t>&lt;4 us</t>
        </is>
      </c>
      <c r="N8" s="19" t="inlineStr">
        <is>
          <t>16RU</t>
        </is>
      </c>
      <c r="O8" s="19" t="inlineStr">
        <is>
          <t>-</t>
        </is>
      </c>
      <c r="P8" s="19" t="inlineStr">
        <is>
          <t>TunnelSec</t>
        </is>
      </c>
      <c r="Q8" s="19" t="inlineStr">
        <is>
          <t>현행 공식 플랫폼/데이터시트 등재</t>
        </is>
      </c>
      <c r="R8" s="21" t="inlineStr">
        <is>
          <t>https://www.arista.com/en/products/platforms</t>
        </is>
      </c>
      <c r="S8" s="21" t="inlineStr">
        <is>
          <t>https://www.arista.com/assets/data/pdf/Datasheets/7800R4-Series-AI-Spine-Datasheet.pdf</t>
        </is>
      </c>
      <c r="T8" s="19" t="inlineStr"/>
      <c r="U8" s="51" t="inlineStr">
        <is>
          <t>288x800G / 576x400G</t>
        </is>
      </c>
      <c r="V8" s="51" t="inlineStr">
        <is>
          <t>230 (460) Tbps</t>
        </is>
      </c>
      <c r="W8" s="51" t="inlineStr">
        <is>
          <t>Up to 86 Bpps (10.8 Bpps/line card)</t>
        </is>
      </c>
      <c r="X8" s="51" t="inlineStr">
        <is>
          <t>&lt;3 µs (64-byte, platform)</t>
        </is>
      </c>
      <c r="Y8" s="51" t="inlineStr">
        <is>
          <t>1.9 GHz 6-core / 2.0 GHz 8-core / 2.0 GHz 10-core x86-64 (Supervisor option)</t>
        </is>
      </c>
      <c r="Z8" s="51" t="inlineStr">
        <is>
          <t>64 / 128 GB (Supervisor option)</t>
        </is>
      </c>
      <c r="AA8" s="52" t="inlineStr">
        <is>
          <t>240 / 480 GB SSD; system flash separately not stated</t>
        </is>
      </c>
      <c r="AB8" s="51" t="inlineStr">
        <is>
          <t>Up to 32 GB per line card</t>
        </is>
      </c>
      <c r="AC8" s="51" t="inlineStr">
        <is>
          <t>Yes; 12 hot-swap PSUs</t>
        </is>
      </c>
      <c r="AD8" s="51" t="inlineStr">
        <is>
          <t>Yes; 8 hot-swappable fan/fabric modules</t>
        </is>
      </c>
      <c r="AE8" s="51" t="inlineStr">
        <is>
          <t>No — front-to-rear only</t>
        </is>
      </c>
    </row>
    <row r="9" ht="72" customHeight="1">
      <c r="A9" s="22" t="n">
        <v>4</v>
      </c>
      <c r="B9" s="18" t="inlineStr">
        <is>
          <t>DCS</t>
        </is>
      </c>
      <c r="C9" s="23" t="inlineStr">
        <is>
          <t>7800R4</t>
        </is>
      </c>
      <c r="D9" s="23" t="inlineStr">
        <is>
          <t>7804R4</t>
        </is>
      </c>
      <c r="E9" s="23" t="inlineStr">
        <is>
          <t>DCS-7804R4 계열</t>
        </is>
      </c>
      <c r="F9" s="23" t="inlineStr">
        <is>
          <t>모듈형 섀시</t>
        </is>
      </c>
      <c r="G9" s="23" t="inlineStr">
        <is>
          <t>AI/ML spine, DC core</t>
        </is>
      </c>
      <c r="H9" s="20" t="inlineStr">
        <is>
          <t>주력</t>
        </is>
      </c>
      <c r="I9" s="20" t="inlineStr">
        <is>
          <t>주력</t>
        </is>
      </c>
      <c r="J9" s="22" t="inlineStr">
        <is>
          <t>-</t>
        </is>
      </c>
      <c r="K9" s="23" t="inlineStr">
        <is>
          <t>144x800G / 288x400G</t>
        </is>
      </c>
      <c r="L9" s="23" t="inlineStr">
        <is>
          <t>115 Tbps (230 Tbps FDX)</t>
        </is>
      </c>
      <c r="M9" s="23" t="inlineStr">
        <is>
          <t>&lt;4 us</t>
        </is>
      </c>
      <c r="N9" s="23" t="inlineStr">
        <is>
          <t>10RU</t>
        </is>
      </c>
      <c r="O9" s="23" t="inlineStr">
        <is>
          <t>-</t>
        </is>
      </c>
      <c r="P9" s="23" t="inlineStr">
        <is>
          <t>TunnelSec</t>
        </is>
      </c>
      <c r="Q9" s="23" t="inlineStr">
        <is>
          <t>현행 공식 플랫폼/데이터시트 등재</t>
        </is>
      </c>
      <c r="R9" s="24" t="inlineStr">
        <is>
          <t>https://www.arista.com/en/products/platforms</t>
        </is>
      </c>
      <c r="S9" s="24" t="inlineStr">
        <is>
          <t>https://www.arista.com/assets/data/pdf/Datasheets/7800R4-Series-AI-Spine-Datasheet.pdf</t>
        </is>
      </c>
      <c r="T9" s="23" t="inlineStr"/>
      <c r="U9" s="53" t="inlineStr">
        <is>
          <t>144x800G / 288x400G</t>
        </is>
      </c>
      <c r="V9" s="53" t="inlineStr">
        <is>
          <t>115 (230) Tbps</t>
        </is>
      </c>
      <c r="W9" s="53" t="inlineStr">
        <is>
          <t>Up to 43 Bpps (10.8 Bpps/line card)</t>
        </is>
      </c>
      <c r="X9" s="53" t="inlineStr">
        <is>
          <t>&lt;3 µs (64-byte, platform)</t>
        </is>
      </c>
      <c r="Y9" s="53" t="inlineStr">
        <is>
          <t>1.9 GHz 6-core / 2.0 GHz 8-core / 2.0 GHz 10-core x86-64 (Supervisor option)</t>
        </is>
      </c>
      <c r="Z9" s="53" t="inlineStr">
        <is>
          <t>64 / 128 GB (Supervisor option)</t>
        </is>
      </c>
      <c r="AA9" s="52" t="inlineStr">
        <is>
          <t>240 / 480 GB SSD; system flash separately not stated</t>
        </is>
      </c>
      <c r="AB9" s="53" t="inlineStr">
        <is>
          <t>Up to 32 GB per line card</t>
        </is>
      </c>
      <c r="AC9" s="53" t="inlineStr">
        <is>
          <t>Yes; 8 hot-swap PSUs</t>
        </is>
      </c>
      <c r="AD9" s="53" t="inlineStr">
        <is>
          <t>Yes; 4 hot-swappable fan/fabric modules</t>
        </is>
      </c>
      <c r="AE9" s="53" t="inlineStr">
        <is>
          <t>No — front-to-rear only</t>
        </is>
      </c>
    </row>
    <row r="10" ht="72" customHeight="1">
      <c r="A10" s="25" t="n">
        <v>5</v>
      </c>
      <c r="B10" s="26" t="inlineStr">
        <is>
          <t>DCS</t>
        </is>
      </c>
      <c r="C10" s="27" t="inlineStr">
        <is>
          <t>7800R3</t>
        </is>
      </c>
      <c r="D10" s="27" t="inlineStr">
        <is>
          <t>7816LR3</t>
        </is>
      </c>
      <c r="E10" s="27" t="inlineStr">
        <is>
          <t>DCS-7816LR3 계열</t>
        </is>
      </c>
      <c r="F10" s="27" t="inlineStr">
        <is>
          <t>모듈형 섀시</t>
        </is>
      </c>
      <c r="G10" s="27" t="inlineStr">
        <is>
          <t>Universal spine, hyperscale DC, DCI</t>
        </is>
      </c>
      <c r="H10" s="28" t="inlineStr">
        <is>
          <t>적합</t>
        </is>
      </c>
      <c r="I10" s="29" t="inlineStr">
        <is>
          <t>주력</t>
        </is>
      </c>
      <c r="J10" s="25" t="inlineStr">
        <is>
          <t>-</t>
        </is>
      </c>
      <c r="K10" s="27" t="inlineStr">
        <is>
          <t>576x400G / 768x100G</t>
        </is>
      </c>
      <c r="L10" s="27" t="inlineStr">
        <is>
          <t>230 Tbps (460 Tbps FDX)</t>
        </is>
      </c>
      <c r="M10" s="27" t="inlineStr">
        <is>
          <t>&lt;4 us</t>
        </is>
      </c>
      <c r="N10" s="27" t="inlineStr">
        <is>
          <t>32RU</t>
        </is>
      </c>
      <c r="O10" s="27" t="inlineStr">
        <is>
          <t>-</t>
        </is>
      </c>
      <c r="P10" s="27" t="inlineStr">
        <is>
          <t>TunnelSec / embedded MACsec</t>
        </is>
      </c>
      <c r="Q10" s="27" t="inlineStr">
        <is>
          <t>현행 공식 플랫폼/데이터시트 등재</t>
        </is>
      </c>
      <c r="R10" s="30" t="inlineStr">
        <is>
          <t>https://www.arista.com/en/products/platforms</t>
        </is>
      </c>
      <c r="S10" s="30" t="inlineStr">
        <is>
          <t>https://www.arista.com/assets/data/pdf/Datasheets/7800R3-Data-Sheet.pdf</t>
        </is>
      </c>
      <c r="T10" s="27" t="inlineStr"/>
      <c r="U10" s="54" t="inlineStr">
        <is>
          <t>576x400G / 768x100G</t>
        </is>
      </c>
      <c r="V10" s="54" t="inlineStr">
        <is>
          <t>230 (460) Tbps</t>
        </is>
      </c>
      <c r="W10" s="54" t="inlineStr">
        <is>
          <t>Up to 96 Bpps (6 Bpps/line card)</t>
        </is>
      </c>
      <c r="X10" s="54" t="inlineStr">
        <is>
          <t>&lt;4 µs</t>
        </is>
      </c>
      <c r="Y10" s="54" t="inlineStr">
        <is>
          <t>1.9 GHz 6-core / 2.0 GHz 8-core x86-64 (Supervisor option)</t>
        </is>
      </c>
      <c r="Z10" s="54" t="inlineStr">
        <is>
          <t>64 GB</t>
        </is>
      </c>
      <c r="AA10" s="54" t="inlineStr">
        <is>
          <t>4 GB flash + 240 GB SSD</t>
        </is>
      </c>
      <c r="AB10" s="54" t="inlineStr">
        <is>
          <t>Up to 24 GB per line card</t>
        </is>
      </c>
      <c r="AC10" s="54" t="inlineStr">
        <is>
          <t>Yes; 24 hot-swap PSUs</t>
        </is>
      </c>
      <c r="AD10" s="54" t="inlineStr">
        <is>
          <t>Yes; 16 hot-swappable fan/fabric modules</t>
        </is>
      </c>
      <c r="AE10" s="54" t="inlineStr">
        <is>
          <t>No — front-to-rear only</t>
        </is>
      </c>
    </row>
    <row r="11" ht="72" customHeight="1">
      <c r="A11" s="22" t="n">
        <v>6</v>
      </c>
      <c r="B11" s="18" t="inlineStr">
        <is>
          <t>DCS</t>
        </is>
      </c>
      <c r="C11" s="23" t="inlineStr">
        <is>
          <t>7800R3</t>
        </is>
      </c>
      <c r="D11" s="23" t="inlineStr">
        <is>
          <t>7816R3</t>
        </is>
      </c>
      <c r="E11" s="23" t="inlineStr">
        <is>
          <t>DCS-7816R3 계열</t>
        </is>
      </c>
      <c r="F11" s="23" t="inlineStr">
        <is>
          <t>모듈형 섀시</t>
        </is>
      </c>
      <c r="G11" s="23" t="inlineStr">
        <is>
          <t>Universal spine, hyperscale DC, DCI</t>
        </is>
      </c>
      <c r="H11" s="31" t="inlineStr">
        <is>
          <t>적합</t>
        </is>
      </c>
      <c r="I11" s="20" t="inlineStr">
        <is>
          <t>주력</t>
        </is>
      </c>
      <c r="J11" s="22" t="inlineStr">
        <is>
          <t>-</t>
        </is>
      </c>
      <c r="K11" s="23" t="inlineStr">
        <is>
          <t>576x400G / 768x100G</t>
        </is>
      </c>
      <c r="L11" s="23" t="inlineStr">
        <is>
          <t>230 Tbps (460 Tbps FDX)</t>
        </is>
      </c>
      <c r="M11" s="23" t="inlineStr">
        <is>
          <t>&lt;4 us</t>
        </is>
      </c>
      <c r="N11" s="23" t="inlineStr">
        <is>
          <t>32RU</t>
        </is>
      </c>
      <c r="O11" s="23" t="inlineStr">
        <is>
          <t>-</t>
        </is>
      </c>
      <c r="P11" s="23" t="inlineStr">
        <is>
          <t>TunnelSec / embedded MACsec</t>
        </is>
      </c>
      <c r="Q11" s="23" t="inlineStr">
        <is>
          <t>현행 공식 플랫폼/데이터시트 등재</t>
        </is>
      </c>
      <c r="R11" s="24" t="inlineStr">
        <is>
          <t>https://www.arista.com/en/products/platforms</t>
        </is>
      </c>
      <c r="S11" s="24" t="inlineStr">
        <is>
          <t>https://www.arista.com/assets/data/pdf/Datasheets/7800R3-Data-Sheet.pdf</t>
        </is>
      </c>
      <c r="T11" s="23" t="inlineStr"/>
      <c r="U11" s="53" t="inlineStr">
        <is>
          <t>576x400G / 768x100G</t>
        </is>
      </c>
      <c r="V11" s="53" t="inlineStr">
        <is>
          <t>230 (460) Tbps</t>
        </is>
      </c>
      <c r="W11" s="53" t="inlineStr">
        <is>
          <t>Up to 96 Bpps (6 Bpps/line card)</t>
        </is>
      </c>
      <c r="X11" s="53" t="inlineStr">
        <is>
          <t>&lt;4 µs</t>
        </is>
      </c>
      <c r="Y11" s="53" t="inlineStr">
        <is>
          <t>1.9 GHz 6-core / 2.0 GHz 8-core x86-64 (Supervisor option)</t>
        </is>
      </c>
      <c r="Z11" s="53" t="inlineStr">
        <is>
          <t>64 GB</t>
        </is>
      </c>
      <c r="AA11" s="53" t="inlineStr">
        <is>
          <t>4 GB flash + 240 GB SSD</t>
        </is>
      </c>
      <c r="AB11" s="53" t="inlineStr">
        <is>
          <t>Up to 24 GB per line card</t>
        </is>
      </c>
      <c r="AC11" s="53" t="inlineStr">
        <is>
          <t>Yes; 24 hot-swap PSUs</t>
        </is>
      </c>
      <c r="AD11" s="53" t="inlineStr">
        <is>
          <t>Yes; 16 hot-swappable fan/fabric modules</t>
        </is>
      </c>
      <c r="AE11" s="53" t="inlineStr">
        <is>
          <t>No — front-to-rear only</t>
        </is>
      </c>
    </row>
    <row r="12" ht="72" customHeight="1">
      <c r="A12" s="17" t="n">
        <v>7</v>
      </c>
      <c r="B12" s="18" t="inlineStr">
        <is>
          <t>DCS</t>
        </is>
      </c>
      <c r="C12" s="19" t="inlineStr">
        <is>
          <t>7800R3</t>
        </is>
      </c>
      <c r="D12" s="19" t="inlineStr">
        <is>
          <t>7812R3</t>
        </is>
      </c>
      <c r="E12" s="19" t="inlineStr">
        <is>
          <t>DCS-7812R3 계열</t>
        </is>
      </c>
      <c r="F12" s="19" t="inlineStr">
        <is>
          <t>모듈형 섀시</t>
        </is>
      </c>
      <c r="G12" s="19" t="inlineStr">
        <is>
          <t>Universal spine, hyperscale DC, DCI</t>
        </is>
      </c>
      <c r="H12" s="31" t="inlineStr">
        <is>
          <t>적합</t>
        </is>
      </c>
      <c r="I12" s="20" t="inlineStr">
        <is>
          <t>주력</t>
        </is>
      </c>
      <c r="J12" s="17" t="inlineStr">
        <is>
          <t>-</t>
        </is>
      </c>
      <c r="K12" s="19" t="inlineStr">
        <is>
          <t>432x400G / 576x100G</t>
        </is>
      </c>
      <c r="L12" s="19" t="inlineStr">
        <is>
          <t>173 Tbps (346 Tbps FDX)</t>
        </is>
      </c>
      <c r="M12" s="19" t="inlineStr">
        <is>
          <t>&lt;4 us</t>
        </is>
      </c>
      <c r="N12" s="19" t="inlineStr">
        <is>
          <t>23RU</t>
        </is>
      </c>
      <c r="O12" s="19" t="inlineStr">
        <is>
          <t>-</t>
        </is>
      </c>
      <c r="P12" s="19" t="inlineStr">
        <is>
          <t>TunnelSec / embedded MACsec</t>
        </is>
      </c>
      <c r="Q12" s="19" t="inlineStr">
        <is>
          <t>현행 공식 플랫폼/데이터시트 등재</t>
        </is>
      </c>
      <c r="R12" s="21" t="inlineStr">
        <is>
          <t>https://www.arista.com/en/products/platforms</t>
        </is>
      </c>
      <c r="S12" s="21" t="inlineStr">
        <is>
          <t>https://www.arista.com/assets/data/pdf/Datasheets/7800R3-Data-Sheet.pdf</t>
        </is>
      </c>
      <c r="T12" s="19" t="inlineStr"/>
      <c r="U12" s="51" t="inlineStr">
        <is>
          <t>432x400G / 576x100G</t>
        </is>
      </c>
      <c r="V12" s="51" t="inlineStr">
        <is>
          <t>173 (346) Tbps</t>
        </is>
      </c>
      <c r="W12" s="51" t="inlineStr">
        <is>
          <t>Up to 72 Bpps (6 Bpps/line card)</t>
        </is>
      </c>
      <c r="X12" s="51" t="inlineStr">
        <is>
          <t>&lt;4 µs</t>
        </is>
      </c>
      <c r="Y12" s="51" t="inlineStr">
        <is>
          <t>1.9 GHz 6-core / 2.0 GHz 8-core x86-64 (Supervisor option)</t>
        </is>
      </c>
      <c r="Z12" s="51" t="inlineStr">
        <is>
          <t>64 GB</t>
        </is>
      </c>
      <c r="AA12" s="51" t="inlineStr">
        <is>
          <t>4 GB flash + 240 GB SSD</t>
        </is>
      </c>
      <c r="AB12" s="51" t="inlineStr">
        <is>
          <t>Up to 24 GB per line card</t>
        </is>
      </c>
      <c r="AC12" s="51" t="inlineStr">
        <is>
          <t>Yes; 18 hot-swap PSUs</t>
        </is>
      </c>
      <c r="AD12" s="51" t="inlineStr">
        <is>
          <t>Yes; 12 hot-swappable fan/fabric modules</t>
        </is>
      </c>
      <c r="AE12" s="51" t="inlineStr">
        <is>
          <t>No — front-to-rear only</t>
        </is>
      </c>
    </row>
    <row r="13" ht="72" customHeight="1">
      <c r="A13" s="22" t="n">
        <v>8</v>
      </c>
      <c r="B13" s="18" t="inlineStr">
        <is>
          <t>DCS</t>
        </is>
      </c>
      <c r="C13" s="23" t="inlineStr">
        <is>
          <t>7800R3</t>
        </is>
      </c>
      <c r="D13" s="23" t="inlineStr">
        <is>
          <t>7808R3</t>
        </is>
      </c>
      <c r="E13" s="23" t="inlineStr">
        <is>
          <t>DCS-7808R3 계열</t>
        </is>
      </c>
      <c r="F13" s="23" t="inlineStr">
        <is>
          <t>모듈형 섀시</t>
        </is>
      </c>
      <c r="G13" s="23" t="inlineStr">
        <is>
          <t>Universal spine, hyperscale DC, DCI</t>
        </is>
      </c>
      <c r="H13" s="31" t="inlineStr">
        <is>
          <t>적합</t>
        </is>
      </c>
      <c r="I13" s="20" t="inlineStr">
        <is>
          <t>주력</t>
        </is>
      </c>
      <c r="J13" s="22" t="inlineStr">
        <is>
          <t>-</t>
        </is>
      </c>
      <c r="K13" s="23" t="inlineStr">
        <is>
          <t>288x400G / 384x100G</t>
        </is>
      </c>
      <c r="L13" s="23" t="inlineStr">
        <is>
          <t>115 Tbps (230 Tbps FDX)</t>
        </is>
      </c>
      <c r="M13" s="23" t="inlineStr">
        <is>
          <t>&lt;4 us</t>
        </is>
      </c>
      <c r="N13" s="23" t="inlineStr">
        <is>
          <t>16RU</t>
        </is>
      </c>
      <c r="O13" s="23" t="inlineStr">
        <is>
          <t>-</t>
        </is>
      </c>
      <c r="P13" s="23" t="inlineStr">
        <is>
          <t>TunnelSec / embedded MACsec</t>
        </is>
      </c>
      <c r="Q13" s="23" t="inlineStr">
        <is>
          <t>현행 공식 플랫폼/데이터시트 등재</t>
        </is>
      </c>
      <c r="R13" s="24" t="inlineStr">
        <is>
          <t>https://www.arista.com/en/products/platforms</t>
        </is>
      </c>
      <c r="S13" s="24" t="inlineStr">
        <is>
          <t>https://www.arista.com/assets/data/pdf/Datasheets/7800R3-Data-Sheet.pdf</t>
        </is>
      </c>
      <c r="T13" s="23" t="inlineStr"/>
      <c r="U13" s="53" t="inlineStr">
        <is>
          <t>288x400G / 384x100G</t>
        </is>
      </c>
      <c r="V13" s="53" t="inlineStr">
        <is>
          <t>115 (230) Tbps</t>
        </is>
      </c>
      <c r="W13" s="53" t="inlineStr">
        <is>
          <t>Up to 48 Bpps (6 Bpps/line card)</t>
        </is>
      </c>
      <c r="X13" s="53" t="inlineStr">
        <is>
          <t>&lt;4 µs</t>
        </is>
      </c>
      <c r="Y13" s="53" t="inlineStr">
        <is>
          <t>1.9 GHz 6-core / 2.0 GHz 8-core x86-64 (Supervisor option)</t>
        </is>
      </c>
      <c r="Z13" s="53" t="inlineStr">
        <is>
          <t>64 GB</t>
        </is>
      </c>
      <c r="AA13" s="53" t="inlineStr">
        <is>
          <t>4 GB flash + 240 GB SSD</t>
        </is>
      </c>
      <c r="AB13" s="53" t="inlineStr">
        <is>
          <t>Up to 24 GB per line card</t>
        </is>
      </c>
      <c r="AC13" s="53" t="inlineStr">
        <is>
          <t>Yes; 12 hot-swap PSUs</t>
        </is>
      </c>
      <c r="AD13" s="53" t="inlineStr">
        <is>
          <t>Yes; 8 hot-swappable fan/fabric modules</t>
        </is>
      </c>
      <c r="AE13" s="53" t="inlineStr">
        <is>
          <t>No — front-to-rear only</t>
        </is>
      </c>
    </row>
    <row r="14" ht="72" customHeight="1">
      <c r="A14" s="17" t="n">
        <v>9</v>
      </c>
      <c r="B14" s="18" t="inlineStr">
        <is>
          <t>DCS</t>
        </is>
      </c>
      <c r="C14" s="19" t="inlineStr">
        <is>
          <t>7800R3</t>
        </is>
      </c>
      <c r="D14" s="19" t="inlineStr">
        <is>
          <t>7804R3</t>
        </is>
      </c>
      <c r="E14" s="19" t="inlineStr">
        <is>
          <t>DCS-7804R3 계열</t>
        </is>
      </c>
      <c r="F14" s="19" t="inlineStr">
        <is>
          <t>모듈형 섀시</t>
        </is>
      </c>
      <c r="G14" s="19" t="inlineStr">
        <is>
          <t>Universal spine, hyperscale DC, DCI</t>
        </is>
      </c>
      <c r="H14" s="31" t="inlineStr">
        <is>
          <t>적합</t>
        </is>
      </c>
      <c r="I14" s="20" t="inlineStr">
        <is>
          <t>주력</t>
        </is>
      </c>
      <c r="J14" s="17" t="inlineStr">
        <is>
          <t>-</t>
        </is>
      </c>
      <c r="K14" s="19" t="inlineStr">
        <is>
          <t>144x400G / 192x100G</t>
        </is>
      </c>
      <c r="L14" s="19" t="inlineStr">
        <is>
          <t>58 Tbps (116 Tbps FDX)</t>
        </is>
      </c>
      <c r="M14" s="19" t="inlineStr">
        <is>
          <t>&lt;4 us</t>
        </is>
      </c>
      <c r="N14" s="19" t="inlineStr">
        <is>
          <t>10RU</t>
        </is>
      </c>
      <c r="O14" s="19" t="inlineStr">
        <is>
          <t>-</t>
        </is>
      </c>
      <c r="P14" s="19" t="inlineStr">
        <is>
          <t>TunnelSec / embedded MACsec</t>
        </is>
      </c>
      <c r="Q14" s="19" t="inlineStr">
        <is>
          <t>현행 공식 플랫폼/데이터시트 등재</t>
        </is>
      </c>
      <c r="R14" s="21" t="inlineStr">
        <is>
          <t>https://www.arista.com/en/products/platforms</t>
        </is>
      </c>
      <c r="S14" s="21" t="inlineStr">
        <is>
          <t>https://www.arista.com/assets/data/pdf/Datasheets/7800R3-Data-Sheet.pdf</t>
        </is>
      </c>
      <c r="T14" s="19" t="inlineStr"/>
      <c r="U14" s="51" t="inlineStr">
        <is>
          <t>144x400G / 192x100G</t>
        </is>
      </c>
      <c r="V14" s="51" t="inlineStr">
        <is>
          <t>58 (116) Tbps</t>
        </is>
      </c>
      <c r="W14" s="51" t="inlineStr">
        <is>
          <t>Up to 24 Bpps (6 Bpps/line card)</t>
        </is>
      </c>
      <c r="X14" s="51" t="inlineStr">
        <is>
          <t>&lt;4 µs</t>
        </is>
      </c>
      <c r="Y14" s="51" t="inlineStr">
        <is>
          <t>1.9 GHz 6-core / 2.0 GHz 8-core x86-64 (Supervisor option)</t>
        </is>
      </c>
      <c r="Z14" s="51" t="inlineStr">
        <is>
          <t>64 GB</t>
        </is>
      </c>
      <c r="AA14" s="51" t="inlineStr">
        <is>
          <t>4 GB flash + 240 GB SSD</t>
        </is>
      </c>
      <c r="AB14" s="51" t="inlineStr">
        <is>
          <t>Up to 24 GB per line card</t>
        </is>
      </c>
      <c r="AC14" s="51" t="inlineStr">
        <is>
          <t>Yes; 8 hot-swap PSUs</t>
        </is>
      </c>
      <c r="AD14" s="51" t="inlineStr">
        <is>
          <t>Yes; 4 hot-swappable fan/fabric modules</t>
        </is>
      </c>
      <c r="AE14" s="51" t="inlineStr">
        <is>
          <t>No — front-to-rear only</t>
        </is>
      </c>
    </row>
    <row r="15" ht="72" customHeight="1">
      <c r="A15" s="32" t="n">
        <v>10</v>
      </c>
      <c r="B15" s="26" t="inlineStr">
        <is>
          <t>DCS</t>
        </is>
      </c>
      <c r="C15" s="33" t="inlineStr">
        <is>
          <t>7700R4</t>
        </is>
      </c>
      <c r="D15" s="33" t="inlineStr">
        <is>
          <t>7720R4-128PE</t>
        </is>
      </c>
      <c r="E15" s="33" t="inlineStr">
        <is>
          <t>DCS-7720R4-128PE 계열</t>
        </is>
      </c>
      <c r="F15" s="33" t="inlineStr">
        <is>
          <t>분산형 Etherlink 섀시/패브릭</t>
        </is>
      </c>
      <c r="G15" s="33" t="inlineStr">
        <is>
          <t>AI scale-out fabric, distributed spine</t>
        </is>
      </c>
      <c r="H15" s="29" t="inlineStr">
        <is>
          <t>주력</t>
        </is>
      </c>
      <c r="I15" s="28" t="inlineStr">
        <is>
          <t>적합</t>
        </is>
      </c>
      <c r="J15" s="32" t="inlineStr">
        <is>
          <t>-</t>
        </is>
      </c>
      <c r="K15" s="33" t="inlineStr">
        <is>
          <t>128x800G / 256x400G fabric</t>
        </is>
      </c>
      <c r="L15" s="33" t="inlineStr">
        <is>
          <t>102.4 Tbps</t>
        </is>
      </c>
      <c r="M15" s="33" t="inlineStr">
        <is>
          <t>&lt;4 us end-to-end</t>
        </is>
      </c>
      <c r="N15" s="33" t="inlineStr">
        <is>
          <t>7RU</t>
        </is>
      </c>
      <c r="O15" s="33" t="inlineStr">
        <is>
          <t>-</t>
        </is>
      </c>
      <c r="P15" s="33" t="inlineStr">
        <is>
          <t>Embedded encryption; datasheet 참조</t>
        </is>
      </c>
      <c r="Q15" s="33" t="inlineStr">
        <is>
          <t>현행 공식 플랫폼/데이터시트 등재</t>
        </is>
      </c>
      <c r="R15" s="34" t="inlineStr">
        <is>
          <t>https://www.arista.com/en/products/platforms</t>
        </is>
      </c>
      <c r="S15" s="34" t="inlineStr">
        <is>
          <t>https://www.arista.com/assets/data/pdf/Datasheets/7700R4-Distributed-Etherlink-Switch-Datasheet.pdf</t>
        </is>
      </c>
      <c r="T15" s="33" t="inlineStr"/>
      <c r="U15" s="55" t="inlineStr">
        <is>
          <t>128x800G OSFP fabric + 1x100G management/host interface</t>
        </is>
      </c>
      <c r="V15" s="55" t="inlineStr">
        <is>
          <t>102.4 (204.8) Tbps</t>
        </is>
      </c>
      <c r="W15" s="56" t="inlineStr">
        <is>
          <t>미기재(공식 데이터시트)</t>
        </is>
      </c>
      <c r="X15" s="55" t="inlineStr">
        <is>
          <t>From 3.8 µs</t>
        </is>
      </c>
      <c r="Y15" s="55" t="inlineStr">
        <is>
          <t>8-core x86</t>
        </is>
      </c>
      <c r="Z15" s="55" t="inlineStr">
        <is>
          <t>64 GB</t>
        </is>
      </c>
      <c r="AA15" s="55" t="inlineStr">
        <is>
          <t>512 GB SSD</t>
        </is>
      </c>
      <c r="AB15" s="56" t="inlineStr">
        <is>
          <t>미기재(공식 데이터시트)</t>
        </is>
      </c>
      <c r="AC15" s="55" t="inlineStr">
        <is>
          <t>Yes; 4 (N+N)</t>
        </is>
      </c>
      <c r="AD15" s="55" t="inlineStr">
        <is>
          <t>Yes; 12 (N+1)</t>
        </is>
      </c>
      <c r="AE15" s="55" t="inlineStr">
        <is>
          <t>No — front-to-rear only</t>
        </is>
      </c>
    </row>
    <row r="16" ht="72" customHeight="1">
      <c r="A16" s="17" t="n">
        <v>11</v>
      </c>
      <c r="B16" s="18" t="inlineStr">
        <is>
          <t>DCS</t>
        </is>
      </c>
      <c r="C16" s="19" t="inlineStr">
        <is>
          <t>7700R4</t>
        </is>
      </c>
      <c r="D16" s="19" t="inlineStr">
        <is>
          <t>7700R4C-36PE</t>
        </is>
      </c>
      <c r="E16" s="19" t="inlineStr">
        <is>
          <t>DCS-7700R4C-36PE 계열</t>
        </is>
      </c>
      <c r="F16" s="19" t="inlineStr">
        <is>
          <t>분산형 Etherlink leaf</t>
        </is>
      </c>
      <c r="G16" s="19" t="inlineStr">
        <is>
          <t>AI compute-facing leaf / fabric module</t>
        </is>
      </c>
      <c r="H16" s="20" t="inlineStr">
        <is>
          <t>주력</t>
        </is>
      </c>
      <c r="I16" s="31" t="inlineStr">
        <is>
          <t>적합</t>
        </is>
      </c>
      <c r="J16" s="17" t="inlineStr">
        <is>
          <t>-</t>
        </is>
      </c>
      <c r="K16" s="19" t="inlineStr">
        <is>
          <t>18x800G/36x400G host + 20x800G/40x400G fabric</t>
        </is>
      </c>
      <c r="L16" s="19" t="inlineStr">
        <is>
          <t>14.4 Tbps</t>
        </is>
      </c>
      <c r="M16" s="19" t="inlineStr">
        <is>
          <t>&lt;4 us end-to-end</t>
        </is>
      </c>
      <c r="N16" s="19" t="inlineStr">
        <is>
          <t>2RU</t>
        </is>
      </c>
      <c r="O16" s="19" t="inlineStr">
        <is>
          <t>-</t>
        </is>
      </c>
      <c r="P16" s="19" t="inlineStr">
        <is>
          <t>Embedded encryption; datasheet 참조</t>
        </is>
      </c>
      <c r="Q16" s="19" t="inlineStr">
        <is>
          <t>현행 공식 플랫폼/데이터시트 등재</t>
        </is>
      </c>
      <c r="R16" s="21" t="inlineStr">
        <is>
          <t>https://www.arista.com/en/products/platforms</t>
        </is>
      </c>
      <c r="S16" s="21" t="inlineStr">
        <is>
          <t>https://www.arista.com/assets/data/pdf/Datasheets/7700R4-Distributed-Etherlink-Switch-Datasheet.pdf</t>
        </is>
      </c>
      <c r="T16" s="19" t="inlineStr"/>
      <c r="U16" s="51" t="inlineStr">
        <is>
          <t>18x800G/36x400G host + 20x800G/40x400G fabric + 1x100G QSFP</t>
        </is>
      </c>
      <c r="V16" s="51" t="inlineStr">
        <is>
          <t>14.4 (28.8) Tbps</t>
        </is>
      </c>
      <c r="W16" s="51" t="inlineStr">
        <is>
          <t>5.4 Bpps</t>
        </is>
      </c>
      <c r="X16" s="51" t="inlineStr">
        <is>
          <t>From 3.8 µs</t>
        </is>
      </c>
      <c r="Y16" s="51" t="inlineStr">
        <is>
          <t>8-core x86</t>
        </is>
      </c>
      <c r="Z16" s="51" t="inlineStr">
        <is>
          <t>64 GB</t>
        </is>
      </c>
      <c r="AA16" s="51" t="inlineStr">
        <is>
          <t>512 GB SSD</t>
        </is>
      </c>
      <c r="AB16" s="51" t="inlineStr">
        <is>
          <t>16 GB</t>
        </is>
      </c>
      <c r="AC16" s="51" t="inlineStr">
        <is>
          <t>Yes; 2 (1+1)</t>
        </is>
      </c>
      <c r="AD16" s="51" t="inlineStr">
        <is>
          <t>Yes; 4 (N+1)</t>
        </is>
      </c>
      <c r="AE16" s="51" t="inlineStr">
        <is>
          <t>No — front-to-rear only</t>
        </is>
      </c>
    </row>
    <row r="17" ht="72" customHeight="1">
      <c r="A17" s="32" t="n">
        <v>12</v>
      </c>
      <c r="B17" s="26" t="inlineStr">
        <is>
          <t>DCS</t>
        </is>
      </c>
      <c r="C17" s="33" t="inlineStr">
        <is>
          <t>7500R3</t>
        </is>
      </c>
      <c r="D17" s="33" t="inlineStr">
        <is>
          <t>7512R3</t>
        </is>
      </c>
      <c r="E17" s="33" t="inlineStr">
        <is>
          <t>DCS-7512R3 계열</t>
        </is>
      </c>
      <c r="F17" s="33" t="inlineStr">
        <is>
          <t>모듈형 섀시</t>
        </is>
      </c>
      <c r="G17" s="33" t="inlineStr">
        <is>
          <t>DC spine, DCI, universal routing</t>
        </is>
      </c>
      <c r="H17" s="35" t="inlineStr">
        <is>
          <t>보조</t>
        </is>
      </c>
      <c r="I17" s="29" t="inlineStr">
        <is>
          <t>주력</t>
        </is>
      </c>
      <c r="J17" s="32" t="inlineStr">
        <is>
          <t>-</t>
        </is>
      </c>
      <c r="K17" s="33" t="inlineStr">
        <is>
          <t>최대 288x400G / 432x100G</t>
        </is>
      </c>
      <c r="L17" s="33" t="inlineStr">
        <is>
          <t>230 Tbps</t>
        </is>
      </c>
      <c r="M17" s="33" t="inlineStr">
        <is>
          <t>&lt;4 us</t>
        </is>
      </c>
      <c r="N17" s="33" t="inlineStr">
        <is>
          <t>18RU</t>
        </is>
      </c>
      <c r="O17" s="33" t="inlineStr">
        <is>
          <t>-</t>
        </is>
      </c>
      <c r="P17" s="33" t="inlineStr">
        <is>
          <t>라인카드/모델별</t>
        </is>
      </c>
      <c r="Q17" s="33" t="inlineStr">
        <is>
          <t>현행 공식 플랫폼/데이터시트 등재</t>
        </is>
      </c>
      <c r="R17" s="34" t="inlineStr">
        <is>
          <t>https://www.arista.com/en/products/platforms</t>
        </is>
      </c>
      <c r="S17" s="34" t="inlineStr">
        <is>
          <t>https://www.arista.com/assets/data/pdf/Datasheets/7500R3-Data-Sheet.pdf</t>
        </is>
      </c>
      <c r="T17" s="33" t="inlineStr"/>
      <c r="U17" s="55" t="inlineStr">
        <is>
          <t>최대 288x400G / 432x100G</t>
        </is>
      </c>
      <c r="V17" s="55" t="inlineStr">
        <is>
          <t>230 Tbps</t>
        </is>
      </c>
      <c r="W17" s="56" t="inlineStr">
        <is>
          <t>미기재(섀시별 총합; line-card dependent)</t>
        </is>
      </c>
      <c r="X17" s="55" t="inlineStr">
        <is>
          <t>&lt;4 µs</t>
        </is>
      </c>
      <c r="Y17" s="55" t="inlineStr">
        <is>
          <t>1.9 GHz multi-core x86-64</t>
        </is>
      </c>
      <c r="Z17" s="55" t="inlineStr">
        <is>
          <t>32 GB</t>
        </is>
      </c>
      <c r="AA17" s="55" t="inlineStr">
        <is>
          <t>4 GB flash; optional 120 GB SSD</t>
        </is>
      </c>
      <c r="AB17" s="55" t="inlineStr">
        <is>
          <t>Up to 16 GB per line card</t>
        </is>
      </c>
      <c r="AC17" s="55" t="inlineStr">
        <is>
          <t>Yes; hot-swap redundant power modules</t>
        </is>
      </c>
      <c r="AD17" s="55" t="inlineStr">
        <is>
          <t>Yes; N+1 hot-swappable cooling modules</t>
        </is>
      </c>
      <c r="AE17" s="55" t="inlineStr">
        <is>
          <t>No — front-to-rear only</t>
        </is>
      </c>
    </row>
    <row r="18" ht="72" customHeight="1">
      <c r="A18" s="17" t="n">
        <v>13</v>
      </c>
      <c r="B18" s="18" t="inlineStr">
        <is>
          <t>DCS</t>
        </is>
      </c>
      <c r="C18" s="19" t="inlineStr">
        <is>
          <t>7500R3</t>
        </is>
      </c>
      <c r="D18" s="19" t="inlineStr">
        <is>
          <t>7508R3</t>
        </is>
      </c>
      <c r="E18" s="19" t="inlineStr">
        <is>
          <t>DCS-7508R3 계열</t>
        </is>
      </c>
      <c r="F18" s="19" t="inlineStr">
        <is>
          <t>모듈형 섀시</t>
        </is>
      </c>
      <c r="G18" s="19" t="inlineStr">
        <is>
          <t>DC spine, DCI, universal routing</t>
        </is>
      </c>
      <c r="H18" s="36" t="inlineStr">
        <is>
          <t>보조</t>
        </is>
      </c>
      <c r="I18" s="20" t="inlineStr">
        <is>
          <t>주력</t>
        </is>
      </c>
      <c r="J18" s="17" t="inlineStr">
        <is>
          <t>-</t>
        </is>
      </c>
      <c r="K18" s="19" t="inlineStr">
        <is>
          <t>최대 192x400G / 288x100G</t>
        </is>
      </c>
      <c r="L18" s="19" t="inlineStr">
        <is>
          <t>153 Tbps</t>
        </is>
      </c>
      <c r="M18" s="19" t="inlineStr">
        <is>
          <t>&lt;4 us</t>
        </is>
      </c>
      <c r="N18" s="19" t="inlineStr">
        <is>
          <t>13RU</t>
        </is>
      </c>
      <c r="O18" s="19" t="inlineStr">
        <is>
          <t>-</t>
        </is>
      </c>
      <c r="P18" s="19" t="inlineStr">
        <is>
          <t>라인카드/모델별</t>
        </is>
      </c>
      <c r="Q18" s="19" t="inlineStr">
        <is>
          <t>현행 공식 플랫폼/데이터시트 등재</t>
        </is>
      </c>
      <c r="R18" s="21" t="inlineStr">
        <is>
          <t>https://www.arista.com/en/products/platforms</t>
        </is>
      </c>
      <c r="S18" s="21" t="inlineStr">
        <is>
          <t>https://www.arista.com/assets/data/pdf/Datasheets/7500R3-Data-Sheet.pdf</t>
        </is>
      </c>
      <c r="T18" s="19" t="inlineStr"/>
      <c r="U18" s="51" t="inlineStr">
        <is>
          <t>최대 192x400G / 288x100G</t>
        </is>
      </c>
      <c r="V18" s="51" t="inlineStr">
        <is>
          <t>153 Tbps</t>
        </is>
      </c>
      <c r="W18" s="52" t="inlineStr">
        <is>
          <t>미기재(섀시별 총합; line-card dependent)</t>
        </is>
      </c>
      <c r="X18" s="51" t="inlineStr">
        <is>
          <t>&lt;4 µs</t>
        </is>
      </c>
      <c r="Y18" s="51" t="inlineStr">
        <is>
          <t>1.9 GHz multi-core x86-64</t>
        </is>
      </c>
      <c r="Z18" s="51" t="inlineStr">
        <is>
          <t>32 GB</t>
        </is>
      </c>
      <c r="AA18" s="51" t="inlineStr">
        <is>
          <t>4 GB flash; optional 120 GB SSD</t>
        </is>
      </c>
      <c r="AB18" s="51" t="inlineStr">
        <is>
          <t>Up to 16 GB per line card</t>
        </is>
      </c>
      <c r="AC18" s="51" t="inlineStr">
        <is>
          <t>Yes; hot-swap redundant power modules</t>
        </is>
      </c>
      <c r="AD18" s="51" t="inlineStr">
        <is>
          <t>Yes; N+1 hot-swappable cooling modules</t>
        </is>
      </c>
      <c r="AE18" s="51" t="inlineStr">
        <is>
          <t>No — front-to-rear only</t>
        </is>
      </c>
    </row>
    <row r="19" ht="72" customHeight="1">
      <c r="A19" s="22" t="n">
        <v>14</v>
      </c>
      <c r="B19" s="18" t="inlineStr">
        <is>
          <t>DCS</t>
        </is>
      </c>
      <c r="C19" s="23" t="inlineStr">
        <is>
          <t>7500R3</t>
        </is>
      </c>
      <c r="D19" s="23" t="inlineStr">
        <is>
          <t>7504R3</t>
        </is>
      </c>
      <c r="E19" s="23" t="inlineStr">
        <is>
          <t>DCS-7504R3 계열</t>
        </is>
      </c>
      <c r="F19" s="23" t="inlineStr">
        <is>
          <t>모듈형 섀시</t>
        </is>
      </c>
      <c r="G19" s="23" t="inlineStr">
        <is>
          <t>DC spine, DCI, universal routing</t>
        </is>
      </c>
      <c r="H19" s="36" t="inlineStr">
        <is>
          <t>보조</t>
        </is>
      </c>
      <c r="I19" s="20" t="inlineStr">
        <is>
          <t>주력</t>
        </is>
      </c>
      <c r="J19" s="22" t="inlineStr">
        <is>
          <t>-</t>
        </is>
      </c>
      <c r="K19" s="23" t="inlineStr">
        <is>
          <t>최대 96x400G / 144x100G</t>
        </is>
      </c>
      <c r="L19" s="23" t="inlineStr">
        <is>
          <t>76.8 Tbps</t>
        </is>
      </c>
      <c r="M19" s="23" t="inlineStr">
        <is>
          <t>&lt;4 us</t>
        </is>
      </c>
      <c r="N19" s="23" t="inlineStr">
        <is>
          <t>7RU</t>
        </is>
      </c>
      <c r="O19" s="23" t="inlineStr">
        <is>
          <t>-</t>
        </is>
      </c>
      <c r="P19" s="23" t="inlineStr">
        <is>
          <t>라인카드/모델별</t>
        </is>
      </c>
      <c r="Q19" s="23" t="inlineStr">
        <is>
          <t>현행 공식 플랫폼/데이터시트 등재</t>
        </is>
      </c>
      <c r="R19" s="24" t="inlineStr">
        <is>
          <t>https://www.arista.com/en/products/platforms</t>
        </is>
      </c>
      <c r="S19" s="24" t="inlineStr">
        <is>
          <t>https://www.arista.com/assets/data/pdf/Datasheets/7500R3-Data-Sheet.pdf</t>
        </is>
      </c>
      <c r="T19" s="23" t="inlineStr"/>
      <c r="U19" s="53" t="inlineStr">
        <is>
          <t>최대 96x400G / 144x100G</t>
        </is>
      </c>
      <c r="V19" s="53" t="inlineStr">
        <is>
          <t>76.8 Tbps</t>
        </is>
      </c>
      <c r="W19" s="52" t="inlineStr">
        <is>
          <t>미기재(섀시별 총합; line-card dependent)</t>
        </is>
      </c>
      <c r="X19" s="53" t="inlineStr">
        <is>
          <t>&lt;4 µs</t>
        </is>
      </c>
      <c r="Y19" s="53" t="inlineStr">
        <is>
          <t>1.9 GHz multi-core x86-64</t>
        </is>
      </c>
      <c r="Z19" s="53" t="inlineStr">
        <is>
          <t>32 GB</t>
        </is>
      </c>
      <c r="AA19" s="53" t="inlineStr">
        <is>
          <t>4 GB flash; optional 120 GB SSD</t>
        </is>
      </c>
      <c r="AB19" s="53" t="inlineStr">
        <is>
          <t>Up to 16 GB per line card</t>
        </is>
      </c>
      <c r="AC19" s="53" t="inlineStr">
        <is>
          <t>Yes; hot-swap redundant power modules</t>
        </is>
      </c>
      <c r="AD19" s="53" t="inlineStr">
        <is>
          <t>Yes; N+1 hot-swappable cooling modules</t>
        </is>
      </c>
      <c r="AE19" s="53" t="inlineStr">
        <is>
          <t>No — front-to-rear only</t>
        </is>
      </c>
    </row>
    <row r="20" ht="72" customHeight="1">
      <c r="A20" s="25" t="n">
        <v>15</v>
      </c>
      <c r="B20" s="26" t="inlineStr">
        <is>
          <t>DCS</t>
        </is>
      </c>
      <c r="C20" s="27" t="inlineStr">
        <is>
          <t>7500R</t>
        </is>
      </c>
      <c r="D20" s="27" t="inlineStr">
        <is>
          <t>7516R</t>
        </is>
      </c>
      <c r="E20" s="27" t="inlineStr">
        <is>
          <t>DCS-7516R 계열</t>
        </is>
      </c>
      <c r="F20" s="27" t="inlineStr">
        <is>
          <t>모듈형 섀시</t>
        </is>
      </c>
      <c r="G20" s="27" t="inlineStr">
        <is>
          <t>DC spine, DCI, service provider</t>
        </is>
      </c>
      <c r="H20" s="25" t="inlineStr">
        <is>
          <t>-</t>
        </is>
      </c>
      <c r="I20" s="29" t="inlineStr">
        <is>
          <t>주력</t>
        </is>
      </c>
      <c r="J20" s="25" t="inlineStr">
        <is>
          <t>-</t>
        </is>
      </c>
      <c r="K20" s="27" t="inlineStr">
        <is>
          <t>576x100G / 2,304x25G</t>
        </is>
      </c>
      <c r="L20" s="27" t="inlineStr">
        <is>
          <t>150 Tbps</t>
        </is>
      </c>
      <c r="M20" s="27" t="inlineStr">
        <is>
          <t>&lt;3.5 us</t>
        </is>
      </c>
      <c r="N20" s="27" t="inlineStr">
        <is>
          <t>29RU</t>
        </is>
      </c>
      <c r="O20" s="27" t="inlineStr">
        <is>
          <t>-</t>
        </is>
      </c>
      <c r="P20" s="27" t="inlineStr">
        <is>
          <t>MACsec / coherent DWDM 지원</t>
        </is>
      </c>
      <c r="Q20" s="27" t="inlineStr">
        <is>
          <t>현행 공식 플랫폼/데이터시트 등재</t>
        </is>
      </c>
      <c r="R20" s="30" t="inlineStr">
        <is>
          <t>https://www.arista.com/en/products/platforms</t>
        </is>
      </c>
      <c r="S20" s="30" t="inlineStr">
        <is>
          <t>https://www.arista.com/assets/data/pdf/Datasheets/7500RDataSheet.pdf</t>
        </is>
      </c>
      <c r="T20" s="27" t="inlineStr"/>
      <c r="U20" s="54" t="inlineStr">
        <is>
          <t>576x100G / 2,304x25G</t>
        </is>
      </c>
      <c r="V20" s="54" t="inlineStr">
        <is>
          <t>150 Tbps</t>
        </is>
      </c>
      <c r="W20" s="54" t="inlineStr">
        <is>
          <t>Up to 69 Bpps (family; chassis/line-card dependent)</t>
        </is>
      </c>
      <c r="X20" s="54" t="inlineStr">
        <is>
          <t>&lt;4 µs</t>
        </is>
      </c>
      <c r="Y20" s="54" t="inlineStr">
        <is>
          <t>1.9 GHz multi-core x86-64</t>
        </is>
      </c>
      <c r="Z20" s="54" t="inlineStr">
        <is>
          <t>32 / 64 GB (Supervisor option)</t>
        </is>
      </c>
      <c r="AA20" s="54" t="inlineStr">
        <is>
          <t>4 GB flash; optional 120 GB SSD</t>
        </is>
      </c>
      <c r="AB20" s="54" t="inlineStr">
        <is>
          <t>Up to 24 GB per line card</t>
        </is>
      </c>
      <c r="AC20" s="54" t="inlineStr">
        <is>
          <t>Yes; hot-swap redundant power modules</t>
        </is>
      </c>
      <c r="AD20" s="54" t="inlineStr">
        <is>
          <t>Yes; N+1 hot-swappable cooling modules</t>
        </is>
      </c>
      <c r="AE20" s="54" t="inlineStr">
        <is>
          <t>No — front-to-rear only</t>
        </is>
      </c>
    </row>
    <row r="21" ht="72" customHeight="1">
      <c r="A21" s="22" t="n">
        <v>16</v>
      </c>
      <c r="B21" s="18" t="inlineStr">
        <is>
          <t>DCS</t>
        </is>
      </c>
      <c r="C21" s="23" t="inlineStr">
        <is>
          <t>7500R</t>
        </is>
      </c>
      <c r="D21" s="23" t="inlineStr">
        <is>
          <t>7512R</t>
        </is>
      </c>
      <c r="E21" s="23" t="inlineStr">
        <is>
          <t>DCS-7512R 계열</t>
        </is>
      </c>
      <c r="F21" s="23" t="inlineStr">
        <is>
          <t>모듈형 섀시</t>
        </is>
      </c>
      <c r="G21" s="23" t="inlineStr">
        <is>
          <t>DC spine, DCI, service provider</t>
        </is>
      </c>
      <c r="H21" s="22" t="inlineStr">
        <is>
          <t>-</t>
        </is>
      </c>
      <c r="I21" s="20" t="inlineStr">
        <is>
          <t>주력</t>
        </is>
      </c>
      <c r="J21" s="22" t="inlineStr">
        <is>
          <t>-</t>
        </is>
      </c>
      <c r="K21" s="23" t="inlineStr">
        <is>
          <t>432x100G / 1,728x25G</t>
        </is>
      </c>
      <c r="L21" s="23" t="inlineStr">
        <is>
          <t>115 Tbps</t>
        </is>
      </c>
      <c r="M21" s="23" t="inlineStr">
        <is>
          <t>&lt;3.5 us</t>
        </is>
      </c>
      <c r="N21" s="23" t="inlineStr">
        <is>
          <t>18RU</t>
        </is>
      </c>
      <c r="O21" s="23" t="inlineStr">
        <is>
          <t>-</t>
        </is>
      </c>
      <c r="P21" s="23" t="inlineStr">
        <is>
          <t>MACsec / coherent DWDM 지원</t>
        </is>
      </c>
      <c r="Q21" s="23" t="inlineStr">
        <is>
          <t>현행 공식 플랫폼/데이터시트 등재</t>
        </is>
      </c>
      <c r="R21" s="24" t="inlineStr">
        <is>
          <t>https://www.arista.com/en/products/platforms</t>
        </is>
      </c>
      <c r="S21" s="24" t="inlineStr">
        <is>
          <t>https://www.arista.com/assets/data/pdf/Datasheets/7500RDataSheet.pdf</t>
        </is>
      </c>
      <c r="T21" s="23" t="inlineStr"/>
      <c r="U21" s="53" t="inlineStr">
        <is>
          <t>432x100G / 1,728x25G</t>
        </is>
      </c>
      <c r="V21" s="53" t="inlineStr">
        <is>
          <t>115 Tbps</t>
        </is>
      </c>
      <c r="W21" s="53" t="inlineStr">
        <is>
          <t>Up to 69 Bpps (family; chassis/line-card dependent)</t>
        </is>
      </c>
      <c r="X21" s="53" t="inlineStr">
        <is>
          <t>&lt;4 µs</t>
        </is>
      </c>
      <c r="Y21" s="53" t="inlineStr">
        <is>
          <t>1.9 GHz multi-core x86-64</t>
        </is>
      </c>
      <c r="Z21" s="53" t="inlineStr">
        <is>
          <t>32 GB</t>
        </is>
      </c>
      <c r="AA21" s="53" t="inlineStr">
        <is>
          <t>4 GB flash; optional 120 GB SSD</t>
        </is>
      </c>
      <c r="AB21" s="53" t="inlineStr">
        <is>
          <t>Up to 24 GB per line card</t>
        </is>
      </c>
      <c r="AC21" s="53" t="inlineStr">
        <is>
          <t>Yes; hot-swap redundant power modules</t>
        </is>
      </c>
      <c r="AD21" s="53" t="inlineStr">
        <is>
          <t>Yes; N+1 hot-swappable cooling modules</t>
        </is>
      </c>
      <c r="AE21" s="53" t="inlineStr">
        <is>
          <t>No — front-to-rear only</t>
        </is>
      </c>
    </row>
    <row r="22" ht="72" customHeight="1">
      <c r="A22" s="17" t="n">
        <v>17</v>
      </c>
      <c r="B22" s="18" t="inlineStr">
        <is>
          <t>DCS</t>
        </is>
      </c>
      <c r="C22" s="19" t="inlineStr">
        <is>
          <t>7500R</t>
        </is>
      </c>
      <c r="D22" s="19" t="inlineStr">
        <is>
          <t>7508R</t>
        </is>
      </c>
      <c r="E22" s="19" t="inlineStr">
        <is>
          <t>DCS-7508R 계열</t>
        </is>
      </c>
      <c r="F22" s="19" t="inlineStr">
        <is>
          <t>모듈형 섀시</t>
        </is>
      </c>
      <c r="G22" s="19" t="inlineStr">
        <is>
          <t>DC spine, DCI, service provider</t>
        </is>
      </c>
      <c r="H22" s="17" t="inlineStr">
        <is>
          <t>-</t>
        </is>
      </c>
      <c r="I22" s="20" t="inlineStr">
        <is>
          <t>주력</t>
        </is>
      </c>
      <c r="J22" s="17" t="inlineStr">
        <is>
          <t>-</t>
        </is>
      </c>
      <c r="K22" s="19" t="inlineStr">
        <is>
          <t>288x100G / 1,152x25G</t>
        </is>
      </c>
      <c r="L22" s="19" t="inlineStr">
        <is>
          <t>75 Tbps</t>
        </is>
      </c>
      <c r="M22" s="19" t="inlineStr">
        <is>
          <t>&lt;3.5 us</t>
        </is>
      </c>
      <c r="N22" s="19" t="inlineStr">
        <is>
          <t>13RU</t>
        </is>
      </c>
      <c r="O22" s="19" t="inlineStr">
        <is>
          <t>-</t>
        </is>
      </c>
      <c r="P22" s="19" t="inlineStr">
        <is>
          <t>MACsec / coherent DWDM 지원</t>
        </is>
      </c>
      <c r="Q22" s="19" t="inlineStr">
        <is>
          <t>현행 공식 플랫폼/데이터시트 등재</t>
        </is>
      </c>
      <c r="R22" s="21" t="inlineStr">
        <is>
          <t>https://www.arista.com/en/products/platforms</t>
        </is>
      </c>
      <c r="S22" s="21" t="inlineStr">
        <is>
          <t>https://www.arista.com/assets/data/pdf/Datasheets/7500RDataSheet.pdf</t>
        </is>
      </c>
      <c r="T22" s="19" t="inlineStr"/>
      <c r="U22" s="51" t="inlineStr">
        <is>
          <t>288x100G / 1,152x25G</t>
        </is>
      </c>
      <c r="V22" s="51" t="inlineStr">
        <is>
          <t>75 Tbps</t>
        </is>
      </c>
      <c r="W22" s="51" t="inlineStr">
        <is>
          <t>Up to 69 Bpps (family; chassis/line-card dependent)</t>
        </is>
      </c>
      <c r="X22" s="51" t="inlineStr">
        <is>
          <t>&lt;4 µs</t>
        </is>
      </c>
      <c r="Y22" s="51" t="inlineStr">
        <is>
          <t>1.9 GHz multi-core x86-64</t>
        </is>
      </c>
      <c r="Z22" s="51" t="inlineStr">
        <is>
          <t>32 GB</t>
        </is>
      </c>
      <c r="AA22" s="51" t="inlineStr">
        <is>
          <t>4 GB flash; optional 120 GB SSD</t>
        </is>
      </c>
      <c r="AB22" s="51" t="inlineStr">
        <is>
          <t>Up to 24 GB per line card</t>
        </is>
      </c>
      <c r="AC22" s="51" t="inlineStr">
        <is>
          <t>Yes; hot-swap redundant power modules</t>
        </is>
      </c>
      <c r="AD22" s="51" t="inlineStr">
        <is>
          <t>Yes; N+1 hot-swappable cooling modules</t>
        </is>
      </c>
      <c r="AE22" s="51" t="inlineStr">
        <is>
          <t>No — front-to-rear only</t>
        </is>
      </c>
    </row>
    <row r="23" ht="72" customHeight="1">
      <c r="A23" s="22" t="n">
        <v>18</v>
      </c>
      <c r="B23" s="18" t="inlineStr">
        <is>
          <t>DCS</t>
        </is>
      </c>
      <c r="C23" s="23" t="inlineStr">
        <is>
          <t>7500R</t>
        </is>
      </c>
      <c r="D23" s="23" t="inlineStr">
        <is>
          <t>7504R</t>
        </is>
      </c>
      <c r="E23" s="23" t="inlineStr">
        <is>
          <t>DCS-7504R 계열</t>
        </is>
      </c>
      <c r="F23" s="23" t="inlineStr">
        <is>
          <t>모듈형 섀시</t>
        </is>
      </c>
      <c r="G23" s="23" t="inlineStr">
        <is>
          <t>DC spine, DCI, service provider</t>
        </is>
      </c>
      <c r="H23" s="22" t="inlineStr">
        <is>
          <t>-</t>
        </is>
      </c>
      <c r="I23" s="20" t="inlineStr">
        <is>
          <t>주력</t>
        </is>
      </c>
      <c r="J23" s="22" t="inlineStr">
        <is>
          <t>-</t>
        </is>
      </c>
      <c r="K23" s="23" t="inlineStr">
        <is>
          <t>144x100G / 576x25G</t>
        </is>
      </c>
      <c r="L23" s="23" t="inlineStr">
        <is>
          <t>38 Tbps</t>
        </is>
      </c>
      <c r="M23" s="23" t="inlineStr">
        <is>
          <t>&lt;3.5 us</t>
        </is>
      </c>
      <c r="N23" s="23" t="inlineStr">
        <is>
          <t>7RU</t>
        </is>
      </c>
      <c r="O23" s="23" t="inlineStr">
        <is>
          <t>-</t>
        </is>
      </c>
      <c r="P23" s="23" t="inlineStr">
        <is>
          <t>MACsec / coherent DWDM 지원</t>
        </is>
      </c>
      <c r="Q23" s="23" t="inlineStr">
        <is>
          <t>현행 공식 플랫폼/데이터시트 등재</t>
        </is>
      </c>
      <c r="R23" s="24" t="inlineStr">
        <is>
          <t>https://www.arista.com/en/products/platforms</t>
        </is>
      </c>
      <c r="S23" s="24" t="inlineStr">
        <is>
          <t>https://www.arista.com/assets/data/pdf/Datasheets/7500RDataSheet.pdf</t>
        </is>
      </c>
      <c r="T23" s="23" t="inlineStr"/>
      <c r="U23" s="53" t="inlineStr">
        <is>
          <t>144x100G / 576x25G</t>
        </is>
      </c>
      <c r="V23" s="53" t="inlineStr">
        <is>
          <t>38 Tbps</t>
        </is>
      </c>
      <c r="W23" s="53" t="inlineStr">
        <is>
          <t>Up to 69 Bpps (family; chassis/line-card dependent)</t>
        </is>
      </c>
      <c r="X23" s="53" t="inlineStr">
        <is>
          <t>&lt;4 µs</t>
        </is>
      </c>
      <c r="Y23" s="53" t="inlineStr">
        <is>
          <t>1.9 GHz multi-core x86-64</t>
        </is>
      </c>
      <c r="Z23" s="53" t="inlineStr">
        <is>
          <t>32 GB</t>
        </is>
      </c>
      <c r="AA23" s="53" t="inlineStr">
        <is>
          <t>4 GB flash; optional 120 GB SSD</t>
        </is>
      </c>
      <c r="AB23" s="53" t="inlineStr">
        <is>
          <t>Up to 24 GB per line card</t>
        </is>
      </c>
      <c r="AC23" s="53" t="inlineStr">
        <is>
          <t>Yes; hot-swap redundant power modules</t>
        </is>
      </c>
      <c r="AD23" s="53" t="inlineStr">
        <is>
          <t>Yes; N+1 hot-swappable cooling modules</t>
        </is>
      </c>
      <c r="AE23" s="53" t="inlineStr">
        <is>
          <t>No — front-to-rear only</t>
        </is>
      </c>
    </row>
    <row r="24" ht="72" customHeight="1">
      <c r="A24" s="25" t="n">
        <v>19</v>
      </c>
      <c r="B24" s="26" t="inlineStr">
        <is>
          <t>DCS</t>
        </is>
      </c>
      <c r="C24" s="27" t="inlineStr">
        <is>
          <t>7300X3</t>
        </is>
      </c>
      <c r="D24" s="27" t="inlineStr">
        <is>
          <t>7308X3</t>
        </is>
      </c>
      <c r="E24" s="27" t="inlineStr">
        <is>
          <t>DCS-7308X3 계열</t>
        </is>
      </c>
      <c r="F24" s="27" t="inlineStr">
        <is>
          <t>모듈형 spline</t>
        </is>
      </c>
      <c r="G24" s="27" t="inlineStr">
        <is>
          <t>DC leaf/spine/spline</t>
        </is>
      </c>
      <c r="H24" s="35" t="inlineStr">
        <is>
          <t>보조</t>
        </is>
      </c>
      <c r="I24" s="29" t="inlineStr">
        <is>
          <t>주력</t>
        </is>
      </c>
      <c r="J24" s="25" t="inlineStr">
        <is>
          <t>-</t>
        </is>
      </c>
      <c r="K24" s="27" t="inlineStr">
        <is>
          <t>256x100G / 384x25G / 1,024x10G / 384x10GBASE-T</t>
        </is>
      </c>
      <c r="L24" s="27" t="inlineStr">
        <is>
          <t>51 Tbps</t>
        </is>
      </c>
      <c r="M24" s="27" t="inlineStr">
        <is>
          <t>&lt;2 us</t>
        </is>
      </c>
      <c r="N24" s="27" t="inlineStr">
        <is>
          <t>13RU</t>
        </is>
      </c>
      <c r="O24" s="27" t="inlineStr">
        <is>
          <t>-</t>
        </is>
      </c>
      <c r="P24" s="27" t="inlineStr">
        <is>
          <t>모델/라인카드별</t>
        </is>
      </c>
      <c r="Q24" s="27" t="inlineStr">
        <is>
          <t>현행 공식 플랫폼/데이터시트 등재</t>
        </is>
      </c>
      <c r="R24" s="30" t="inlineStr">
        <is>
          <t>https://www.arista.com/en/products/platforms</t>
        </is>
      </c>
      <c r="S24" s="30" t="inlineStr">
        <is>
          <t>https://www.arista.com/assets/data/pdf/Datasheets/7300X3-Datasheet.pdf</t>
        </is>
      </c>
      <c r="T24" s="27" t="inlineStr"/>
      <c r="U24" s="54" t="inlineStr">
        <is>
          <t>256x100G / 384x25G / 1,024x10G / 384x10GBASE-T</t>
        </is>
      </c>
      <c r="V24" s="54" t="inlineStr">
        <is>
          <t>51.2 Tbps</t>
        </is>
      </c>
      <c r="W24" s="54" t="inlineStr">
        <is>
          <t>32 Bpps</t>
        </is>
      </c>
      <c r="X24" s="54" t="inlineStr">
        <is>
          <t>&lt;2.5 µs</t>
        </is>
      </c>
      <c r="Y24" s="54" t="inlineStr">
        <is>
          <t>2.6 GHz quad-core / 1.9 GHz 6-core x86-64</t>
        </is>
      </c>
      <c r="Z24" s="54" t="inlineStr">
        <is>
          <t>16 / 32 GB</t>
        </is>
      </c>
      <c r="AA24" s="54" t="inlineStr">
        <is>
          <t>4 GB flash; optional 100 / 240 GB SSD</t>
        </is>
      </c>
      <c r="AB24" s="54" t="inlineStr">
        <is>
          <t>32 / 64 MB per line card (line-card dependent)</t>
        </is>
      </c>
      <c r="AC24" s="54" t="inlineStr">
        <is>
          <t>Yes; grid-redundant hot-swap PSUs</t>
        </is>
      </c>
      <c r="AD24" s="54" t="inlineStr">
        <is>
          <t>Yes; N+1 hot-swappable fan modules</t>
        </is>
      </c>
      <c r="AE24" s="54" t="inlineStr">
        <is>
          <t>No — front-to-rear only</t>
        </is>
      </c>
    </row>
    <row r="25" ht="72" customHeight="1">
      <c r="A25" s="22" t="n">
        <v>20</v>
      </c>
      <c r="B25" s="18" t="inlineStr">
        <is>
          <t>DCS</t>
        </is>
      </c>
      <c r="C25" s="23" t="inlineStr">
        <is>
          <t>7300X3</t>
        </is>
      </c>
      <c r="D25" s="23" t="inlineStr">
        <is>
          <t>7304X3</t>
        </is>
      </c>
      <c r="E25" s="23" t="inlineStr">
        <is>
          <t>DCS-7304X3 계열</t>
        </is>
      </c>
      <c r="F25" s="23" t="inlineStr">
        <is>
          <t>모듈형 spline</t>
        </is>
      </c>
      <c r="G25" s="23" t="inlineStr">
        <is>
          <t>DC leaf/spine/spline</t>
        </is>
      </c>
      <c r="H25" s="36" t="inlineStr">
        <is>
          <t>보조</t>
        </is>
      </c>
      <c r="I25" s="20" t="inlineStr">
        <is>
          <t>주력</t>
        </is>
      </c>
      <c r="J25" s="22" t="inlineStr">
        <is>
          <t>-</t>
        </is>
      </c>
      <c r="K25" s="23" t="inlineStr">
        <is>
          <t>128x100G / 192x25G / 512x10G / 192x10GBASE-T</t>
        </is>
      </c>
      <c r="L25" s="23" t="inlineStr">
        <is>
          <t>25 Tbps</t>
        </is>
      </c>
      <c r="M25" s="23" t="inlineStr">
        <is>
          <t>&lt;2 us</t>
        </is>
      </c>
      <c r="N25" s="23" t="inlineStr">
        <is>
          <t>8RU</t>
        </is>
      </c>
      <c r="O25" s="23" t="inlineStr">
        <is>
          <t>-</t>
        </is>
      </c>
      <c r="P25" s="23" t="inlineStr">
        <is>
          <t>모델/라인카드별</t>
        </is>
      </c>
      <c r="Q25" s="23" t="inlineStr">
        <is>
          <t>현행 공식 플랫폼/데이터시트 등재</t>
        </is>
      </c>
      <c r="R25" s="24" t="inlineStr">
        <is>
          <t>https://www.arista.com/en/products/platforms</t>
        </is>
      </c>
      <c r="S25" s="24" t="inlineStr">
        <is>
          <t>https://www.arista.com/assets/data/pdf/Datasheets/7300X3-Datasheet.pdf</t>
        </is>
      </c>
      <c r="T25" s="23" t="inlineStr"/>
      <c r="U25" s="53" t="inlineStr">
        <is>
          <t>128x100G / 192x25G / 512x10G / 192x10GBASE-T</t>
        </is>
      </c>
      <c r="V25" s="53" t="inlineStr">
        <is>
          <t>25.6 Tbps</t>
        </is>
      </c>
      <c r="W25" s="53" t="inlineStr">
        <is>
          <t>16 Bpps</t>
        </is>
      </c>
      <c r="X25" s="53" t="inlineStr">
        <is>
          <t>&lt;2.5 µs</t>
        </is>
      </c>
      <c r="Y25" s="53" t="inlineStr">
        <is>
          <t>2.6 GHz quad-core / 1.9 GHz 6-core x86-64</t>
        </is>
      </c>
      <c r="Z25" s="53" t="inlineStr">
        <is>
          <t>16 / 32 GB</t>
        </is>
      </c>
      <c r="AA25" s="53" t="inlineStr">
        <is>
          <t>4 GB flash; optional 100 / 240 GB SSD</t>
        </is>
      </c>
      <c r="AB25" s="53" t="inlineStr">
        <is>
          <t>32 / 64 MB per line card (line-card dependent)</t>
        </is>
      </c>
      <c r="AC25" s="53" t="inlineStr">
        <is>
          <t>Yes; grid-redundant hot-swap PSUs</t>
        </is>
      </c>
      <c r="AD25" s="53" t="inlineStr">
        <is>
          <t>Yes; N+1 hot-swappable fan modules</t>
        </is>
      </c>
      <c r="AE25" s="53" t="inlineStr">
        <is>
          <t>No — front-to-rear only</t>
        </is>
      </c>
    </row>
    <row r="26" ht="72" customHeight="1">
      <c r="A26" s="25" t="n">
        <v>21</v>
      </c>
      <c r="B26" s="26" t="inlineStr">
        <is>
          <t>DCS</t>
        </is>
      </c>
      <c r="C26" s="27" t="inlineStr">
        <is>
          <t>7388X5</t>
        </is>
      </c>
      <c r="D26" s="27" t="inlineStr">
        <is>
          <t>7388X5</t>
        </is>
      </c>
      <c r="E26" s="27" t="inlineStr">
        <is>
          <t>DCS-7388X5 계열</t>
        </is>
      </c>
      <c r="F26" s="27" t="inlineStr">
        <is>
          <t>모듈형 고밀도</t>
        </is>
      </c>
      <c r="G26" s="27" t="inlineStr">
        <is>
          <t>400G DC spine / AI fabric aggregation</t>
        </is>
      </c>
      <c r="H26" s="28" t="inlineStr">
        <is>
          <t>적합</t>
        </is>
      </c>
      <c r="I26" s="29" t="inlineStr">
        <is>
          <t>주력</t>
        </is>
      </c>
      <c r="J26" s="25" t="inlineStr">
        <is>
          <t>-</t>
        </is>
      </c>
      <c r="K26" s="27" t="inlineStr">
        <is>
          <t>64x400G OSFP/QSFP-DD 또는 128x200G QSFP56</t>
        </is>
      </c>
      <c r="L26" s="27" t="inlineStr">
        <is>
          <t>25.6 Tbps</t>
        </is>
      </c>
      <c r="M26" s="27" t="inlineStr">
        <is>
          <t>825 ns</t>
        </is>
      </c>
      <c r="N26" s="27" t="inlineStr">
        <is>
          <t>4RU</t>
        </is>
      </c>
      <c r="O26" s="27" t="inlineStr">
        <is>
          <t>-</t>
        </is>
      </c>
      <c r="P26" s="27" t="inlineStr">
        <is>
          <t>데이터시트 참조</t>
        </is>
      </c>
      <c r="Q26" s="27" t="inlineStr">
        <is>
          <t>현행 공식 플랫폼/데이터시트 등재</t>
        </is>
      </c>
      <c r="R26" s="30" t="inlineStr">
        <is>
          <t>https://www.arista.com/en/products/platforms</t>
        </is>
      </c>
      <c r="S26" s="30" t="inlineStr">
        <is>
          <t>https://www.arista.com/assets/data/pdf/Datasheets/7388X5-Datasheet.pdf</t>
        </is>
      </c>
      <c r="T26" s="27" t="inlineStr"/>
      <c r="U26" s="54" t="inlineStr">
        <is>
          <t>128x100/200G or 64x400G</t>
        </is>
      </c>
      <c r="V26" s="54" t="inlineStr">
        <is>
          <t>25.6 Tbps</t>
        </is>
      </c>
      <c r="W26" s="54" t="inlineStr">
        <is>
          <t>10.66 Bpps</t>
        </is>
      </c>
      <c r="X26" s="54" t="inlineStr">
        <is>
          <t>825 ns</t>
        </is>
      </c>
      <c r="Y26" s="54" t="inlineStr">
        <is>
          <t>Multi-core x86</t>
        </is>
      </c>
      <c r="Z26" s="54" t="inlineStr">
        <is>
          <t>32 GB</t>
        </is>
      </c>
      <c r="AA26" s="56" t="inlineStr">
        <is>
          <t>512 GB SSD; flash separately not stated</t>
        </is>
      </c>
      <c r="AB26" s="54" t="inlineStr">
        <is>
          <t>114 MB</t>
        </is>
      </c>
      <c r="AC26" s="54" t="inlineStr">
        <is>
          <t>Yes; 4 (N+N)</t>
        </is>
      </c>
      <c r="AD26" s="54" t="inlineStr">
        <is>
          <t>Yes; 5 (N+1)</t>
        </is>
      </c>
      <c r="AE26" s="54" t="inlineStr">
        <is>
          <t>No — front-to-rear only</t>
        </is>
      </c>
    </row>
    <row r="27" ht="72" customHeight="1">
      <c r="A27" s="32" t="n">
        <v>22</v>
      </c>
      <c r="B27" s="26" t="inlineStr">
        <is>
          <t>DCS</t>
        </is>
      </c>
      <c r="C27" s="33" t="inlineStr">
        <is>
          <t>7368X4</t>
        </is>
      </c>
      <c r="D27" s="33" t="inlineStr">
        <is>
          <t>7368X4</t>
        </is>
      </c>
      <c r="E27" s="33" t="inlineStr">
        <is>
          <t>DCS-7368X4 계열</t>
        </is>
      </c>
      <c r="F27" s="33" t="inlineStr">
        <is>
          <t>모듈형 고밀도</t>
        </is>
      </c>
      <c r="G27" s="33" t="inlineStr">
        <is>
          <t>400G DC spine / aggregation</t>
        </is>
      </c>
      <c r="H27" s="28" t="inlineStr">
        <is>
          <t>적합</t>
        </is>
      </c>
      <c r="I27" s="29" t="inlineStr">
        <is>
          <t>주력</t>
        </is>
      </c>
      <c r="J27" s="32" t="inlineStr">
        <is>
          <t>-</t>
        </is>
      </c>
      <c r="K27" s="33" t="inlineStr">
        <is>
          <t>32x400G 또는 128x100G</t>
        </is>
      </c>
      <c r="L27" s="33" t="inlineStr">
        <is>
          <t>25.6 Tbps</t>
        </is>
      </c>
      <c r="M27" s="33" t="inlineStr">
        <is>
          <t>700 ns</t>
        </is>
      </c>
      <c r="N27" s="33" t="inlineStr">
        <is>
          <t>4RU</t>
        </is>
      </c>
      <c r="O27" s="33" t="inlineStr">
        <is>
          <t>-</t>
        </is>
      </c>
      <c r="P27" s="33" t="inlineStr">
        <is>
          <t>데이터시트 참조</t>
        </is>
      </c>
      <c r="Q27" s="33" t="inlineStr">
        <is>
          <t>현행 공식 플랫폼/데이터시트 등재</t>
        </is>
      </c>
      <c r="R27" s="34" t="inlineStr">
        <is>
          <t>https://www.arista.com/en/products/platforms</t>
        </is>
      </c>
      <c r="S27" s="34" t="inlineStr">
        <is>
          <t>https://www.arista.com/assets/data/pdf/Datasheets/7368X4-Datasheet.pdf</t>
        </is>
      </c>
      <c r="T27" s="33" t="inlineStr"/>
      <c r="U27" s="55" t="inlineStr">
        <is>
          <t>128x100G or 32x400G</t>
        </is>
      </c>
      <c r="V27" s="55" t="inlineStr">
        <is>
          <t>12.8 (25.6) Tbps</t>
        </is>
      </c>
      <c r="W27" s="55" t="inlineStr">
        <is>
          <t>8 Bpps</t>
        </is>
      </c>
      <c r="X27" s="55" t="inlineStr">
        <is>
          <t>700 ns</t>
        </is>
      </c>
      <c r="Y27" s="55" t="inlineStr">
        <is>
          <t>Multi-core x86</t>
        </is>
      </c>
      <c r="Z27" s="55" t="inlineStr">
        <is>
          <t>32 GB</t>
        </is>
      </c>
      <c r="AA27" s="55" t="inlineStr">
        <is>
          <t>8 GB</t>
        </is>
      </c>
      <c r="AB27" s="55" t="inlineStr">
        <is>
          <t>64 MB</t>
        </is>
      </c>
      <c r="AC27" s="55" t="inlineStr">
        <is>
          <t>Yes; 4 (N+N)</t>
        </is>
      </c>
      <c r="AD27" s="55" t="inlineStr">
        <is>
          <t>Yes; 5 (N+1)</t>
        </is>
      </c>
      <c r="AE27" s="55" t="inlineStr">
        <is>
          <t>Conditional — reversible for 25/100G; 400G front-to-rear only</t>
        </is>
      </c>
    </row>
    <row r="28" ht="72" customHeight="1">
      <c r="A28" s="25" t="n">
        <v>23</v>
      </c>
      <c r="B28" s="26" t="inlineStr">
        <is>
          <t>DCS</t>
        </is>
      </c>
      <c r="C28" s="27" t="inlineStr">
        <is>
          <t>7358X4</t>
        </is>
      </c>
      <c r="D28" s="27" t="inlineStr">
        <is>
          <t>7358X4</t>
        </is>
      </c>
      <c r="E28" s="27" t="inlineStr">
        <is>
          <t>DCS-7358X4 계열</t>
        </is>
      </c>
      <c r="F28" s="27" t="inlineStr">
        <is>
          <t>모듈형 고밀도</t>
        </is>
      </c>
      <c r="G28" s="27" t="inlineStr">
        <is>
          <t>400G DC spine / aggregation</t>
        </is>
      </c>
      <c r="H28" s="28" t="inlineStr">
        <is>
          <t>적합</t>
        </is>
      </c>
      <c r="I28" s="29" t="inlineStr">
        <is>
          <t>주력</t>
        </is>
      </c>
      <c r="J28" s="25" t="inlineStr">
        <is>
          <t>-</t>
        </is>
      </c>
      <c r="K28" s="27" t="inlineStr">
        <is>
          <t>32x400G 또는 128x100G</t>
        </is>
      </c>
      <c r="L28" s="27" t="inlineStr">
        <is>
          <t>25.6 Tbps</t>
        </is>
      </c>
      <c r="M28" s="27" t="inlineStr">
        <is>
          <t>900 ns</t>
        </is>
      </c>
      <c r="N28" s="27" t="inlineStr">
        <is>
          <t>4RU</t>
        </is>
      </c>
      <c r="O28" s="27" t="inlineStr">
        <is>
          <t>-</t>
        </is>
      </c>
      <c r="P28" s="27" t="inlineStr">
        <is>
          <t>데이터시트 참조</t>
        </is>
      </c>
      <c r="Q28" s="27" t="inlineStr">
        <is>
          <t>현행 공식 플랫폼/데이터시트 등재</t>
        </is>
      </c>
      <c r="R28" s="30" t="inlineStr">
        <is>
          <t>https://www.arista.com/en/products/platforms</t>
        </is>
      </c>
      <c r="S28" s="30" t="inlineStr">
        <is>
          <t>https://www.arista.com/assets/data/pdf/Datasheets/7358X4-Datasheet.pdf</t>
        </is>
      </c>
      <c r="T28" s="27" t="inlineStr"/>
      <c r="U28" s="54" t="inlineStr">
        <is>
          <t>128x100G or 32x400G</t>
        </is>
      </c>
      <c r="V28" s="54" t="inlineStr">
        <is>
          <t>12.8 (25.6) Tbps</t>
        </is>
      </c>
      <c r="W28" s="54" t="inlineStr">
        <is>
          <t>5.3 Bpps</t>
        </is>
      </c>
      <c r="X28" s="54" t="inlineStr">
        <is>
          <t>900 ns</t>
        </is>
      </c>
      <c r="Y28" s="54" t="inlineStr">
        <is>
          <t>Multi-core x86</t>
        </is>
      </c>
      <c r="Z28" s="54" t="inlineStr">
        <is>
          <t>32 GB</t>
        </is>
      </c>
      <c r="AA28" s="54" t="inlineStr">
        <is>
          <t>30 / 256 GB storage (Supervisor option)</t>
        </is>
      </c>
      <c r="AB28" s="54" t="inlineStr">
        <is>
          <t>132 MB</t>
        </is>
      </c>
      <c r="AC28" s="54" t="inlineStr">
        <is>
          <t>Yes; 4 (N+N)</t>
        </is>
      </c>
      <c r="AD28" s="54" t="inlineStr">
        <is>
          <t>Yes; 5 (N+1)</t>
        </is>
      </c>
      <c r="AE28" s="54" t="inlineStr">
        <is>
          <t>Conditional — reversible for 25/100G configurations</t>
        </is>
      </c>
    </row>
    <row r="29" ht="72" customHeight="1">
      <c r="A29" s="32" t="n">
        <v>24</v>
      </c>
      <c r="B29" s="26" t="inlineStr">
        <is>
          <t>DCS</t>
        </is>
      </c>
      <c r="C29" s="33" t="inlineStr">
        <is>
          <t>7280R4</t>
        </is>
      </c>
      <c r="D29" s="33" t="inlineStr">
        <is>
          <t>7280R4-64QC-10PE</t>
        </is>
      </c>
      <c r="E29" s="33" t="inlineStr">
        <is>
          <t>7280R4K-64QC-10PE 포함</t>
        </is>
      </c>
      <c r="F29" s="33" t="inlineStr">
        <is>
          <t>고정형 deep-buffer</t>
        </is>
      </c>
      <c r="G29" s="33" t="inlineStr">
        <is>
          <t>AI/ML, DC edge/core, service provider</t>
        </is>
      </c>
      <c r="H29" s="28" t="inlineStr">
        <is>
          <t>적합</t>
        </is>
      </c>
      <c r="I29" s="29" t="inlineStr">
        <is>
          <t>주력</t>
        </is>
      </c>
      <c r="J29" s="32" t="inlineStr">
        <is>
          <t>-</t>
        </is>
      </c>
      <c r="K29" s="33" t="inlineStr">
        <is>
          <t>64x100G QSFP + 10x800G OSFP</t>
        </is>
      </c>
      <c r="L29" s="33" t="inlineStr">
        <is>
          <t>14.4 Tbps (28.8 Tbps FDX)</t>
        </is>
      </c>
      <c r="M29" s="33" t="inlineStr">
        <is>
          <t>&lt;4 us</t>
        </is>
      </c>
      <c r="N29" s="33" t="inlineStr">
        <is>
          <t>2RU</t>
        </is>
      </c>
      <c r="O29" s="33" t="inlineStr">
        <is>
          <t>-</t>
        </is>
      </c>
      <c r="P29" s="33" t="inlineStr">
        <is>
          <t>TunnelSec</t>
        </is>
      </c>
      <c r="Q29" s="33" t="inlineStr">
        <is>
          <t>현행 공식 플랫폼/데이터시트 등재</t>
        </is>
      </c>
      <c r="R29" s="34" t="inlineStr">
        <is>
          <t>https://www.arista.com/en/products/platforms</t>
        </is>
      </c>
      <c r="S29" s="34" t="inlineStr">
        <is>
          <t>https://www.arista.com/assets/data/pdf/Datasheets/7280R4-Series-Datasheet.pdf</t>
        </is>
      </c>
      <c r="T29" s="33" t="inlineStr"/>
      <c r="U29" s="55" t="inlineStr">
        <is>
          <t>64x100G QSFP + 10x800G OSFP</t>
        </is>
      </c>
      <c r="V29" s="55" t="inlineStr">
        <is>
          <t>14.4 (28.8) Tbps</t>
        </is>
      </c>
      <c r="W29" s="55" t="inlineStr">
        <is>
          <t>5.4 Bpps</t>
        </is>
      </c>
      <c r="X29" s="55" t="inlineStr">
        <is>
          <t>From 3.8 µs</t>
        </is>
      </c>
      <c r="Y29" s="55" t="inlineStr">
        <is>
          <t>8-core x86</t>
        </is>
      </c>
      <c r="Z29" s="55" t="inlineStr">
        <is>
          <t>64 GB</t>
        </is>
      </c>
      <c r="AA29" s="55" t="inlineStr">
        <is>
          <t>480 GB SSD</t>
        </is>
      </c>
      <c r="AB29" s="55" t="inlineStr">
        <is>
          <t>16 GB</t>
        </is>
      </c>
      <c r="AC29" s="55" t="inlineStr">
        <is>
          <t>Yes; 2 (1+1)</t>
        </is>
      </c>
      <c r="AD29" s="55" t="inlineStr">
        <is>
          <t>Yes; 4 (N+1)</t>
        </is>
      </c>
      <c r="AE29" s="55" t="inlineStr">
        <is>
          <t>No — front-to-rear only</t>
        </is>
      </c>
    </row>
    <row r="30" ht="72" customHeight="1">
      <c r="A30" s="17" t="n">
        <v>25</v>
      </c>
      <c r="B30" s="18" t="inlineStr">
        <is>
          <t>DCS</t>
        </is>
      </c>
      <c r="C30" s="19" t="inlineStr">
        <is>
          <t>7280R4</t>
        </is>
      </c>
      <c r="D30" s="19" t="inlineStr">
        <is>
          <t>7280R4-32PE / 7280R4-32DE</t>
        </is>
      </c>
      <c r="E30" s="19" t="inlineStr">
        <is>
          <t>7280R4K-32PE / 7280R4K-32DE 포함</t>
        </is>
      </c>
      <c r="F30" s="19" t="inlineStr">
        <is>
          <t>고정형 deep-buffer</t>
        </is>
      </c>
      <c r="G30" s="19" t="inlineStr">
        <is>
          <t>AI/ML, DC spine/edge, service provider</t>
        </is>
      </c>
      <c r="H30" s="31" t="inlineStr">
        <is>
          <t>적합</t>
        </is>
      </c>
      <c r="I30" s="20" t="inlineStr">
        <is>
          <t>주력</t>
        </is>
      </c>
      <c r="J30" s="17" t="inlineStr">
        <is>
          <t>-</t>
        </is>
      </c>
      <c r="K30" s="19" t="inlineStr">
        <is>
          <t>32x800G OSFP 또는 QSFP-DD</t>
        </is>
      </c>
      <c r="L30" s="19" t="inlineStr">
        <is>
          <t>25.6 Tbps (51.2 Tbps FDX)</t>
        </is>
      </c>
      <c r="M30" s="19" t="inlineStr">
        <is>
          <t>&lt;4 us</t>
        </is>
      </c>
      <c r="N30" s="19" t="inlineStr">
        <is>
          <t>2RU</t>
        </is>
      </c>
      <c r="O30" s="19" t="inlineStr">
        <is>
          <t>-</t>
        </is>
      </c>
      <c r="P30" s="19" t="inlineStr">
        <is>
          <t>TunnelSec</t>
        </is>
      </c>
      <c r="Q30" s="19" t="inlineStr">
        <is>
          <t>현행 공식 플랫폼/데이터시트 등재</t>
        </is>
      </c>
      <c r="R30" s="21" t="inlineStr">
        <is>
          <t>https://www.arista.com/en/products/platforms</t>
        </is>
      </c>
      <c r="S30" s="21" t="inlineStr">
        <is>
          <t>https://www.arista.com/assets/data/pdf/Datasheets/7280R4-Series-Datasheet.pdf</t>
        </is>
      </c>
      <c r="T30" s="19" t="inlineStr"/>
      <c r="U30" s="51" t="inlineStr">
        <is>
          <t>32x800G OSFP or QSFP-DD</t>
        </is>
      </c>
      <c r="V30" s="51" t="inlineStr">
        <is>
          <t>25.6 (51.2) Tbps</t>
        </is>
      </c>
      <c r="W30" s="51" t="inlineStr">
        <is>
          <t>9.6 Bpps</t>
        </is>
      </c>
      <c r="X30" s="51" t="inlineStr">
        <is>
          <t>From 3.8 µs</t>
        </is>
      </c>
      <c r="Y30" s="51" t="inlineStr">
        <is>
          <t>8-core x86</t>
        </is>
      </c>
      <c r="Z30" s="51" t="inlineStr">
        <is>
          <t>64 GB</t>
        </is>
      </c>
      <c r="AA30" s="51" t="inlineStr">
        <is>
          <t>480 GB SSD</t>
        </is>
      </c>
      <c r="AB30" s="51" t="inlineStr">
        <is>
          <t>32 GB</t>
        </is>
      </c>
      <c r="AC30" s="51" t="inlineStr">
        <is>
          <t>Yes; 2 (1+1)</t>
        </is>
      </c>
      <c r="AD30" s="51" t="inlineStr">
        <is>
          <t>Yes; 4 (N+1)</t>
        </is>
      </c>
      <c r="AE30" s="51" t="inlineStr">
        <is>
          <t>No — front-to-rear only</t>
        </is>
      </c>
    </row>
    <row r="31" ht="72" customHeight="1">
      <c r="A31" s="32" t="n">
        <v>26</v>
      </c>
      <c r="B31" s="26" t="inlineStr">
        <is>
          <t>DCS</t>
        </is>
      </c>
      <c r="C31" s="33" t="inlineStr">
        <is>
          <t>7280R3</t>
        </is>
      </c>
      <c r="D31" s="33" t="inlineStr">
        <is>
          <t>7280DR3A-54</t>
        </is>
      </c>
      <c r="E31" s="33" t="inlineStr">
        <is>
          <t>7280DR3AM-54 / 7280DR3AK-54</t>
        </is>
      </c>
      <c r="F31" s="33" t="inlineStr">
        <is>
          <t>고정형/모듈형 deep-buffer</t>
        </is>
      </c>
      <c r="G31" s="33" t="inlineStr">
        <is>
          <t>Dynamic/deep buffer 400G spine/edge</t>
        </is>
      </c>
      <c r="H31" s="35" t="inlineStr">
        <is>
          <t>보조</t>
        </is>
      </c>
      <c r="I31" s="29" t="inlineStr">
        <is>
          <t>주력</t>
        </is>
      </c>
      <c r="J31" s="32" t="inlineStr">
        <is>
          <t>-</t>
        </is>
      </c>
      <c r="K31" s="33" t="inlineStr">
        <is>
          <t>54x400G QSFP-DD</t>
        </is>
      </c>
      <c r="L31" s="33" t="inlineStr">
        <is>
          <t>21.6 Tbps</t>
        </is>
      </c>
      <c r="M31" s="33" t="inlineStr">
        <is>
          <t>&lt;4 us</t>
        </is>
      </c>
      <c r="N31" s="33" t="inlineStr">
        <is>
          <t>2RU</t>
        </is>
      </c>
      <c r="O31" s="33" t="inlineStr">
        <is>
          <t>-</t>
        </is>
      </c>
      <c r="P31" s="33" t="inlineStr">
        <is>
          <t>M/K 변형별; 데이터시트 참조</t>
        </is>
      </c>
      <c r="Q31" s="33" t="inlineStr">
        <is>
          <t>현행 공식 플랫폼/데이터시트 등재</t>
        </is>
      </c>
      <c r="R31" s="34" t="inlineStr">
        <is>
          <t>https://www.arista.com/en/products/platforms</t>
        </is>
      </c>
      <c r="S31" s="34" t="inlineStr">
        <is>
          <t>https://www.arista.com/assets/data/pdf/Datasheets/7280R3A-Datasheet.pdf</t>
        </is>
      </c>
      <c r="T31" s="33" t="inlineStr"/>
      <c r="U31" s="55" t="inlineStr">
        <is>
          <t>54x400G QSFP-DD</t>
        </is>
      </c>
      <c r="V31" s="55" t="inlineStr">
        <is>
          <t>21.6 (43.2) Tbps</t>
        </is>
      </c>
      <c r="W31" s="55" t="inlineStr">
        <is>
          <t>8.1 Bpps</t>
        </is>
      </c>
      <c r="X31" s="55" t="inlineStr">
        <is>
          <t>From 3.8 µs</t>
        </is>
      </c>
      <c r="Y31" s="55" t="inlineStr">
        <is>
          <t>8-core x86</t>
        </is>
      </c>
      <c r="Z31" s="55" t="inlineStr">
        <is>
          <t>64 GB</t>
        </is>
      </c>
      <c r="AA31" s="55" t="inlineStr">
        <is>
          <t>120 / 480 GB SSD (SKU dependent)</t>
        </is>
      </c>
      <c r="AB31" s="55" t="inlineStr">
        <is>
          <t>24 GB</t>
        </is>
      </c>
      <c r="AC31" s="55" t="inlineStr">
        <is>
          <t>Yes; 2 (1+1)</t>
        </is>
      </c>
      <c r="AD31" s="55" t="inlineStr">
        <is>
          <t>Yes; 4 (N+1)</t>
        </is>
      </c>
      <c r="AE31" s="55" t="inlineStr">
        <is>
          <t>No — front-to-rear only</t>
        </is>
      </c>
    </row>
    <row r="32" ht="72" customHeight="1">
      <c r="A32" s="17" t="n">
        <v>27</v>
      </c>
      <c r="B32" s="18" t="inlineStr">
        <is>
          <t>DCS</t>
        </is>
      </c>
      <c r="C32" s="19" t="inlineStr">
        <is>
          <t>7280R3</t>
        </is>
      </c>
      <c r="D32" s="19" t="inlineStr">
        <is>
          <t>7280R3A Modular</t>
        </is>
      </c>
      <c r="E32" s="19" t="inlineStr">
        <is>
          <t>7280R3AM / 7280R3AK Modular</t>
        </is>
      </c>
      <c r="F32" s="19" t="inlineStr">
        <is>
          <t>고정형/모듈형 deep-buffer</t>
        </is>
      </c>
      <c r="G32" s="19" t="inlineStr">
        <is>
          <t>Modular dynamic/deep buffer spine</t>
        </is>
      </c>
      <c r="H32" s="36" t="inlineStr">
        <is>
          <t>보조</t>
        </is>
      </c>
      <c r="I32" s="20" t="inlineStr">
        <is>
          <t>주력</t>
        </is>
      </c>
      <c r="J32" s="17" t="inlineStr">
        <is>
          <t>-</t>
        </is>
      </c>
      <c r="K32" s="19" t="inlineStr">
        <is>
          <t>36x400G OSFP/QSFP-DD 또는 144x100G</t>
        </is>
      </c>
      <c r="L32" s="19" t="inlineStr">
        <is>
          <t>14.4 Tbps</t>
        </is>
      </c>
      <c r="M32" s="19" t="inlineStr">
        <is>
          <t>&lt;4 us</t>
        </is>
      </c>
      <c r="N32" s="19" t="inlineStr">
        <is>
          <t>4RU</t>
        </is>
      </c>
      <c r="O32" s="19" t="inlineStr">
        <is>
          <t>-</t>
        </is>
      </c>
      <c r="P32" s="19" t="inlineStr">
        <is>
          <t>M/K 변형별; 데이터시트 참조</t>
        </is>
      </c>
      <c r="Q32" s="19" t="inlineStr">
        <is>
          <t>현행 공식 플랫폼/데이터시트 등재</t>
        </is>
      </c>
      <c r="R32" s="21" t="inlineStr">
        <is>
          <t>https://www.arista.com/en/products/platforms</t>
        </is>
      </c>
      <c r="S32" s="21" t="inlineStr">
        <is>
          <t>https://www.arista.com/assets/data/pdf/Datasheets/7280R3A-Modular-Datasheet.pdf</t>
        </is>
      </c>
      <c r="T32" s="19" t="inlineStr"/>
      <c r="U32" s="51" t="inlineStr">
        <is>
          <t>144x100G or 36x400G</t>
        </is>
      </c>
      <c r="V32" s="51" t="inlineStr">
        <is>
          <t>14.4 Tbps</t>
        </is>
      </c>
      <c r="W32" s="51" t="inlineStr">
        <is>
          <t>5.4 Bpps</t>
        </is>
      </c>
      <c r="X32" s="51" t="inlineStr">
        <is>
          <t>&lt;4 µs</t>
        </is>
      </c>
      <c r="Y32" s="51" t="inlineStr">
        <is>
          <t>8-core x86</t>
        </is>
      </c>
      <c r="Z32" s="51" t="inlineStr">
        <is>
          <t>64 GB</t>
        </is>
      </c>
      <c r="AA32" s="51" t="inlineStr">
        <is>
          <t>240 GB SSD</t>
        </is>
      </c>
      <c r="AB32" s="51" t="inlineStr">
        <is>
          <t>16 GB</t>
        </is>
      </c>
      <c r="AC32" s="51" t="inlineStr">
        <is>
          <t>Yes; 4 (N+N)</t>
        </is>
      </c>
      <c r="AD32" s="51" t="inlineStr">
        <is>
          <t>Yes; 5 (N+1)</t>
        </is>
      </c>
      <c r="AE32" s="52" t="inlineStr">
        <is>
          <t>미기재(공식 데이터시트)</t>
        </is>
      </c>
    </row>
    <row r="33" ht="72" customHeight="1">
      <c r="A33" s="22" t="n">
        <v>28</v>
      </c>
      <c r="B33" s="18" t="inlineStr">
        <is>
          <t>DCS</t>
        </is>
      </c>
      <c r="C33" s="23" t="inlineStr">
        <is>
          <t>7280R3</t>
        </is>
      </c>
      <c r="D33" s="23" t="inlineStr">
        <is>
          <t>7280DR3A-36</t>
        </is>
      </c>
      <c r="E33" s="23" t="inlineStr">
        <is>
          <t>7280DR3AM-36 / 7280DR3AK-36</t>
        </is>
      </c>
      <c r="F33" s="23" t="inlineStr">
        <is>
          <t>고정형/모듈형 deep-buffer</t>
        </is>
      </c>
      <c r="G33" s="23" t="inlineStr">
        <is>
          <t>400G deep-buffer spine/edge</t>
        </is>
      </c>
      <c r="H33" s="36" t="inlineStr">
        <is>
          <t>보조</t>
        </is>
      </c>
      <c r="I33" s="20" t="inlineStr">
        <is>
          <t>주력</t>
        </is>
      </c>
      <c r="J33" s="22" t="inlineStr">
        <is>
          <t>-</t>
        </is>
      </c>
      <c r="K33" s="23" t="inlineStr">
        <is>
          <t>36x400G QSFP-DD</t>
        </is>
      </c>
      <c r="L33" s="23" t="inlineStr">
        <is>
          <t>14.4 Tbps</t>
        </is>
      </c>
      <c r="M33" s="23" t="inlineStr">
        <is>
          <t>&lt;4 us</t>
        </is>
      </c>
      <c r="N33" s="23" t="inlineStr">
        <is>
          <t>2RU</t>
        </is>
      </c>
      <c r="O33" s="23" t="inlineStr">
        <is>
          <t>-</t>
        </is>
      </c>
      <c r="P33" s="23" t="inlineStr">
        <is>
          <t>M/K 변형별; 데이터시트 참조</t>
        </is>
      </c>
      <c r="Q33" s="23" t="inlineStr">
        <is>
          <t>현행 공식 플랫폼/데이터시트 등재</t>
        </is>
      </c>
      <c r="R33" s="24" t="inlineStr">
        <is>
          <t>https://www.arista.com/en/products/platforms</t>
        </is>
      </c>
      <c r="S33" s="24" t="inlineStr">
        <is>
          <t>https://www.arista.com/assets/data/pdf/Datasheets/7280R3A-Datasheet.pdf</t>
        </is>
      </c>
      <c r="T33" s="23" t="inlineStr"/>
      <c r="U33" s="53" t="inlineStr">
        <is>
          <t>36x400G QSFP-DD</t>
        </is>
      </c>
      <c r="V33" s="53" t="inlineStr">
        <is>
          <t>14.4 (28.8) Tbps</t>
        </is>
      </c>
      <c r="W33" s="53" t="inlineStr">
        <is>
          <t>5.4 Bpps</t>
        </is>
      </c>
      <c r="X33" s="53" t="inlineStr">
        <is>
          <t>From 3.8 µs</t>
        </is>
      </c>
      <c r="Y33" s="53" t="inlineStr">
        <is>
          <t>8-core x86</t>
        </is>
      </c>
      <c r="Z33" s="53" t="inlineStr">
        <is>
          <t>64 GB</t>
        </is>
      </c>
      <c r="AA33" s="53" t="inlineStr">
        <is>
          <t>480 GB SSD</t>
        </is>
      </c>
      <c r="AB33" s="53" t="inlineStr">
        <is>
          <t>16 GB</t>
        </is>
      </c>
      <c r="AC33" s="53" t="inlineStr">
        <is>
          <t>Yes; 2 (1+1)</t>
        </is>
      </c>
      <c r="AD33" s="53" t="inlineStr">
        <is>
          <t>Yes; 4 (N+1)</t>
        </is>
      </c>
      <c r="AE33" s="53" t="inlineStr">
        <is>
          <t>No — front-to-rear only</t>
        </is>
      </c>
    </row>
    <row r="34" ht="72" customHeight="1">
      <c r="A34" s="17" t="n">
        <v>29</v>
      </c>
      <c r="B34" s="18" t="inlineStr">
        <is>
          <t>DCS</t>
        </is>
      </c>
      <c r="C34" s="19" t="inlineStr">
        <is>
          <t>7280R3</t>
        </is>
      </c>
      <c r="D34" s="19" t="inlineStr">
        <is>
          <t>7280CR3A-24D12</t>
        </is>
      </c>
      <c r="E34" s="19" t="inlineStr">
        <is>
          <t>7280CR3AM-24D12 / 7280CR3AK-24D12</t>
        </is>
      </c>
      <c r="F34" s="19" t="inlineStr">
        <is>
          <t>고정형/모듈형 deep-buffer</t>
        </is>
      </c>
      <c r="G34" s="19" t="inlineStr">
        <is>
          <t>100/400G DC edge/leaf</t>
        </is>
      </c>
      <c r="H34" s="36" t="inlineStr">
        <is>
          <t>보조</t>
        </is>
      </c>
      <c r="I34" s="20" t="inlineStr">
        <is>
          <t>주력</t>
        </is>
      </c>
      <c r="J34" s="17" t="inlineStr">
        <is>
          <t>-</t>
        </is>
      </c>
      <c r="K34" s="19" t="inlineStr">
        <is>
          <t>24x100G + 12x400G</t>
        </is>
      </c>
      <c r="L34" s="19" t="inlineStr">
        <is>
          <t>7.2 Tbps</t>
        </is>
      </c>
      <c r="M34" s="19" t="inlineStr">
        <is>
          <t>&lt;4 us</t>
        </is>
      </c>
      <c r="N34" s="19" t="inlineStr">
        <is>
          <t>1RU</t>
        </is>
      </c>
      <c r="O34" s="19" t="inlineStr">
        <is>
          <t>-</t>
        </is>
      </c>
      <c r="P34" s="19" t="inlineStr">
        <is>
          <t>M/K 변형별; 데이터시트 참조</t>
        </is>
      </c>
      <c r="Q34" s="19" t="inlineStr">
        <is>
          <t>현행 공식 플랫폼/데이터시트 등재</t>
        </is>
      </c>
      <c r="R34" s="21" t="inlineStr">
        <is>
          <t>https://www.arista.com/en/products/platforms</t>
        </is>
      </c>
      <c r="S34" s="21" t="inlineStr">
        <is>
          <t>https://www.arista.com/assets/data/pdf/Datasheets/7280R3A-Datasheet.pdf</t>
        </is>
      </c>
      <c r="T34" s="19" t="inlineStr"/>
      <c r="U34" s="51" t="inlineStr">
        <is>
          <t>24x100G + 12x400G</t>
        </is>
      </c>
      <c r="V34" s="51" t="inlineStr">
        <is>
          <t>7.2 (14.4) Tbps</t>
        </is>
      </c>
      <c r="W34" s="51" t="inlineStr">
        <is>
          <t>2.7 Bpps</t>
        </is>
      </c>
      <c r="X34" s="51" t="inlineStr">
        <is>
          <t>From 3.8 µs</t>
        </is>
      </c>
      <c r="Y34" s="51" t="inlineStr">
        <is>
          <t>8-core x86</t>
        </is>
      </c>
      <c r="Z34" s="51" t="inlineStr">
        <is>
          <t>64 GB</t>
        </is>
      </c>
      <c r="AA34" s="51" t="inlineStr">
        <is>
          <t>480 GB SSD</t>
        </is>
      </c>
      <c r="AB34" s="51" t="inlineStr">
        <is>
          <t>8 GB</t>
        </is>
      </c>
      <c r="AC34" s="51" t="inlineStr">
        <is>
          <t>Yes; 2 (1+1)</t>
        </is>
      </c>
      <c r="AD34" s="51" t="inlineStr">
        <is>
          <t>Yes; 3 (N+1)</t>
        </is>
      </c>
      <c r="AE34" s="51" t="inlineStr">
        <is>
          <t>Yes — front-to-rear / rear-to-front</t>
        </is>
      </c>
    </row>
    <row r="35" ht="72" customHeight="1">
      <c r="A35" s="22" t="n">
        <v>30</v>
      </c>
      <c r="B35" s="18" t="inlineStr">
        <is>
          <t>DCS</t>
        </is>
      </c>
      <c r="C35" s="23" t="inlineStr">
        <is>
          <t>7280R3</t>
        </is>
      </c>
      <c r="D35" s="23" t="inlineStr">
        <is>
          <t>7280PR3-24 / 7280DR3-24</t>
        </is>
      </c>
      <c r="E35" s="23" t="inlineStr">
        <is>
          <t>7280PR3K-24 / 7280DR3K-24</t>
        </is>
      </c>
      <c r="F35" s="23" t="inlineStr">
        <is>
          <t>고정형/모듈형 deep-buffer</t>
        </is>
      </c>
      <c r="G35" s="23" t="inlineStr">
        <is>
          <t>400G deep-buffer spine/edge</t>
        </is>
      </c>
      <c r="H35" s="36" t="inlineStr">
        <is>
          <t>보조</t>
        </is>
      </c>
      <c r="I35" s="20" t="inlineStr">
        <is>
          <t>주력</t>
        </is>
      </c>
      <c r="J35" s="22" t="inlineStr">
        <is>
          <t>-</t>
        </is>
      </c>
      <c r="K35" s="23" t="inlineStr">
        <is>
          <t>24x400G OSFP 또는 QSFP-DD</t>
        </is>
      </c>
      <c r="L35" s="23" t="inlineStr">
        <is>
          <t>9.6 Tbps</t>
        </is>
      </c>
      <c r="M35" s="23" t="inlineStr">
        <is>
          <t>&lt;4 us</t>
        </is>
      </c>
      <c r="N35" s="23" t="inlineStr">
        <is>
          <t>1RU</t>
        </is>
      </c>
      <c r="O35" s="23" t="inlineStr">
        <is>
          <t>-</t>
        </is>
      </c>
      <c r="P35" s="23" t="inlineStr">
        <is>
          <t>M/K 변형별; 데이터시트 참조</t>
        </is>
      </c>
      <c r="Q35" s="23" t="inlineStr">
        <is>
          <t>현행 공식 플랫폼/데이터시트 등재</t>
        </is>
      </c>
      <c r="R35" s="24" t="inlineStr">
        <is>
          <t>https://www.arista.com/en/products/platforms</t>
        </is>
      </c>
      <c r="S35" s="24" t="inlineStr">
        <is>
          <t>https://www.arista.com/assets/data/pdf/Datasheets/7280R3-Data-Sheet.pdf</t>
        </is>
      </c>
      <c r="T35" s="23" t="inlineStr"/>
      <c r="U35" s="53" t="inlineStr">
        <is>
          <t>24x400G OSFP 또는 QSFP-DD</t>
        </is>
      </c>
      <c r="V35" s="53" t="inlineStr">
        <is>
          <t>9.6 (19.2) Tbps</t>
        </is>
      </c>
      <c r="W35" s="53" t="inlineStr">
        <is>
          <t>4 Bpps</t>
        </is>
      </c>
      <c r="X35" s="53" t="inlineStr">
        <is>
          <t>From 3.8 µs</t>
        </is>
      </c>
      <c r="Y35" s="53" t="inlineStr">
        <is>
          <t>8-core / quad-core x86 (SKU dependent)</t>
        </is>
      </c>
      <c r="Z35" s="53" t="inlineStr">
        <is>
          <t>8 GB / 64 GB (K variant)</t>
        </is>
      </c>
      <c r="AA35" s="53" t="inlineStr">
        <is>
          <t>8 GB flash; 120 GB SSD with 64 GB memory variant</t>
        </is>
      </c>
      <c r="AB35" s="53" t="inlineStr">
        <is>
          <t>16 GB</t>
        </is>
      </c>
      <c r="AC35" s="53" t="inlineStr">
        <is>
          <t>Yes; 2 (1+1)</t>
        </is>
      </c>
      <c r="AD35" s="53" t="inlineStr">
        <is>
          <t>Yes; 3 (N+1)</t>
        </is>
      </c>
      <c r="AE35" s="53" t="inlineStr">
        <is>
          <t>No — front-to-rear only</t>
        </is>
      </c>
    </row>
    <row r="36" ht="72" customHeight="1">
      <c r="A36" s="17" t="n">
        <v>31</v>
      </c>
      <c r="B36" s="18" t="inlineStr">
        <is>
          <t>DCS</t>
        </is>
      </c>
      <c r="C36" s="19" t="inlineStr">
        <is>
          <t>7280R3</t>
        </is>
      </c>
      <c r="D36" s="19" t="inlineStr">
        <is>
          <t>7280CR3A-48D6</t>
        </is>
      </c>
      <c r="E36" s="19" t="inlineStr">
        <is>
          <t>7280CR3AM-48D6 / 7280CR3AK-48D6</t>
        </is>
      </c>
      <c r="F36" s="19" t="inlineStr">
        <is>
          <t>고정형/모듈형 deep-buffer</t>
        </is>
      </c>
      <c r="G36" s="19" t="inlineStr">
        <is>
          <t>100/400G DC edge/leaf</t>
        </is>
      </c>
      <c r="H36" s="36" t="inlineStr">
        <is>
          <t>보조</t>
        </is>
      </c>
      <c r="I36" s="20" t="inlineStr">
        <is>
          <t>주력</t>
        </is>
      </c>
      <c r="J36" s="17" t="inlineStr">
        <is>
          <t>-</t>
        </is>
      </c>
      <c r="K36" s="19" t="inlineStr">
        <is>
          <t>48x100G + 6x400G</t>
        </is>
      </c>
      <c r="L36" s="19" t="inlineStr">
        <is>
          <t>7.2 Tbps</t>
        </is>
      </c>
      <c r="M36" s="19" t="inlineStr">
        <is>
          <t>&lt;4 us</t>
        </is>
      </c>
      <c r="N36" s="19" t="inlineStr">
        <is>
          <t>2RU</t>
        </is>
      </c>
      <c r="O36" s="19" t="inlineStr">
        <is>
          <t>-</t>
        </is>
      </c>
      <c r="P36" s="19" t="inlineStr">
        <is>
          <t>M/K 변형별; 데이터시트 참조</t>
        </is>
      </c>
      <c r="Q36" s="19" t="inlineStr">
        <is>
          <t>현행 공식 플랫폼/데이터시트 등재</t>
        </is>
      </c>
      <c r="R36" s="21" t="inlineStr">
        <is>
          <t>https://www.arista.com/en/products/platforms</t>
        </is>
      </c>
      <c r="S36" s="21" t="inlineStr">
        <is>
          <t>https://www.arista.com/assets/data/pdf/Datasheets/7280R3A-Datasheet.pdf</t>
        </is>
      </c>
      <c r="T36" s="19" t="inlineStr"/>
      <c r="U36" s="51" t="inlineStr">
        <is>
          <t>48x100G + 6x400G</t>
        </is>
      </c>
      <c r="V36" s="51" t="inlineStr">
        <is>
          <t>7.2 (14.4) Tbps</t>
        </is>
      </c>
      <c r="W36" s="51" t="inlineStr">
        <is>
          <t>2.7 Bpps</t>
        </is>
      </c>
      <c r="X36" s="51" t="inlineStr">
        <is>
          <t>From 3.8 µs</t>
        </is>
      </c>
      <c r="Y36" s="51" t="inlineStr">
        <is>
          <t>8-core x86</t>
        </is>
      </c>
      <c r="Z36" s="51" t="inlineStr">
        <is>
          <t>64 GB</t>
        </is>
      </c>
      <c r="AA36" s="51" t="inlineStr">
        <is>
          <t>120 GB SSD</t>
        </is>
      </c>
      <c r="AB36" s="51" t="inlineStr">
        <is>
          <t>8 GB</t>
        </is>
      </c>
      <c r="AC36" s="51" t="inlineStr">
        <is>
          <t>Yes; 2 (1+1)</t>
        </is>
      </c>
      <c r="AD36" s="51" t="inlineStr">
        <is>
          <t>Yes; 4 (N+1)</t>
        </is>
      </c>
      <c r="AE36" s="51" t="inlineStr">
        <is>
          <t>Yes — front-to-rear / rear-to-front</t>
        </is>
      </c>
    </row>
    <row r="37" ht="72" customHeight="1">
      <c r="A37" s="22" t="n">
        <v>32</v>
      </c>
      <c r="B37" s="18" t="inlineStr">
        <is>
          <t>DCS</t>
        </is>
      </c>
      <c r="C37" s="23" t="inlineStr">
        <is>
          <t>7280R3</t>
        </is>
      </c>
      <c r="D37" s="23" t="inlineStr">
        <is>
          <t>7280CR3MK-32P4 / 32D4</t>
        </is>
      </c>
      <c r="E37" s="23" t="inlineStr"/>
      <c r="F37" s="23" t="inlineStr">
        <is>
          <t>고정형/모듈형 deep-buffer</t>
        </is>
      </c>
      <c r="G37" s="23" t="inlineStr">
        <is>
          <t>MACsec-capable DC leaf/edge</t>
        </is>
      </c>
      <c r="H37" s="36" t="inlineStr">
        <is>
          <t>보조</t>
        </is>
      </c>
      <c r="I37" s="20" t="inlineStr">
        <is>
          <t>주력</t>
        </is>
      </c>
      <c r="J37" s="22" t="inlineStr">
        <is>
          <t>-</t>
        </is>
      </c>
      <c r="K37" s="23" t="inlineStr">
        <is>
          <t>32x100G + 4x400G</t>
        </is>
      </c>
      <c r="L37" s="23" t="inlineStr">
        <is>
          <t>4.8 Tbps</t>
        </is>
      </c>
      <c r="M37" s="23" t="inlineStr">
        <is>
          <t>&lt;4 us</t>
        </is>
      </c>
      <c r="N37" s="23" t="inlineStr">
        <is>
          <t>1RU</t>
        </is>
      </c>
      <c r="O37" s="23" t="inlineStr">
        <is>
          <t>-</t>
        </is>
      </c>
      <c r="P37" s="23" t="inlineStr">
        <is>
          <t>MACsec</t>
        </is>
      </c>
      <c r="Q37" s="23" t="inlineStr">
        <is>
          <t>현행 공식 플랫폼/데이터시트 등재</t>
        </is>
      </c>
      <c r="R37" s="24" t="inlineStr">
        <is>
          <t>https://www.arista.com/en/products/platforms</t>
        </is>
      </c>
      <c r="S37" s="24" t="inlineStr">
        <is>
          <t>https://www.arista.com/assets/data/pdf/Datasheets/7280R3-MACSec-Datasheet.pdf</t>
        </is>
      </c>
      <c r="T37" s="23" t="inlineStr"/>
      <c r="U37" s="53" t="inlineStr">
        <is>
          <t>32x100G + 4x400G</t>
        </is>
      </c>
      <c r="V37" s="53" t="inlineStr">
        <is>
          <t>4.8 (9.6) Tbps</t>
        </is>
      </c>
      <c r="W37" s="53" t="inlineStr">
        <is>
          <t>2 Bpps</t>
        </is>
      </c>
      <c r="X37" s="53" t="inlineStr">
        <is>
          <t>From 3.8 µs</t>
        </is>
      </c>
      <c r="Y37" s="53" t="inlineStr">
        <is>
          <t>8-core / quad-core x86 (SKU dependent)</t>
        </is>
      </c>
      <c r="Z37" s="53" t="inlineStr">
        <is>
          <t>64 GB</t>
        </is>
      </c>
      <c r="AA37" s="53" t="inlineStr">
        <is>
          <t>8 GB flash / 120 GB SSD (variant)</t>
        </is>
      </c>
      <c r="AB37" s="53" t="inlineStr">
        <is>
          <t>8 GB</t>
        </is>
      </c>
      <c r="AC37" s="53" t="inlineStr">
        <is>
          <t>Yes; 2 (1+1)</t>
        </is>
      </c>
      <c r="AD37" s="53" t="inlineStr">
        <is>
          <t>Yes; 3 (N+1)</t>
        </is>
      </c>
      <c r="AE37" s="53" t="inlineStr">
        <is>
          <t>Yes — front-to-rear / rear-to-front</t>
        </is>
      </c>
    </row>
    <row r="38" ht="72" customHeight="1">
      <c r="A38" s="17" t="n">
        <v>33</v>
      </c>
      <c r="B38" s="18" t="inlineStr">
        <is>
          <t>DCS</t>
        </is>
      </c>
      <c r="C38" s="19" t="inlineStr">
        <is>
          <t>7280R3</t>
        </is>
      </c>
      <c r="D38" s="19" t="inlineStr">
        <is>
          <t>7280CR3-32P4 / 32D4</t>
        </is>
      </c>
      <c r="E38" s="19" t="inlineStr">
        <is>
          <t>7280CR3K-32P4 / 7280CR3K-32D4</t>
        </is>
      </c>
      <c r="F38" s="19" t="inlineStr">
        <is>
          <t>고정형/모듈형 deep-buffer</t>
        </is>
      </c>
      <c r="G38" s="19" t="inlineStr">
        <is>
          <t>100/400G DC leaf/edge</t>
        </is>
      </c>
      <c r="H38" s="36" t="inlineStr">
        <is>
          <t>보조</t>
        </is>
      </c>
      <c r="I38" s="20" t="inlineStr">
        <is>
          <t>주력</t>
        </is>
      </c>
      <c r="J38" s="17" t="inlineStr">
        <is>
          <t>-</t>
        </is>
      </c>
      <c r="K38" s="19" t="inlineStr">
        <is>
          <t>32x100G + 4x400G</t>
        </is>
      </c>
      <c r="L38" s="19" t="inlineStr">
        <is>
          <t>4.8 Tbps</t>
        </is>
      </c>
      <c r="M38" s="19" t="inlineStr">
        <is>
          <t>&lt;4 us</t>
        </is>
      </c>
      <c r="N38" s="19" t="inlineStr">
        <is>
          <t>1RU</t>
        </is>
      </c>
      <c r="O38" s="19" t="inlineStr">
        <is>
          <t>-</t>
        </is>
      </c>
      <c r="P38" s="19" t="inlineStr">
        <is>
          <t>M/K 변형별; 데이터시트 참조</t>
        </is>
      </c>
      <c r="Q38" s="19" t="inlineStr">
        <is>
          <t>현행 공식 플랫폼/데이터시트 등재</t>
        </is>
      </c>
      <c r="R38" s="21" t="inlineStr">
        <is>
          <t>https://www.arista.com/en/products/platforms</t>
        </is>
      </c>
      <c r="S38" s="21" t="inlineStr">
        <is>
          <t>https://www.arista.com/assets/data/pdf/Datasheets/7280R3-Data-Sheet.pdf</t>
        </is>
      </c>
      <c r="T38" s="19" t="inlineStr"/>
      <c r="U38" s="51" t="inlineStr">
        <is>
          <t>32x100G + 4x400G</t>
        </is>
      </c>
      <c r="V38" s="51" t="inlineStr">
        <is>
          <t>4.8 (9.6) Tbps</t>
        </is>
      </c>
      <c r="W38" s="51" t="inlineStr">
        <is>
          <t>2 Bpps</t>
        </is>
      </c>
      <c r="X38" s="51" t="inlineStr">
        <is>
          <t>From 3.8 µs</t>
        </is>
      </c>
      <c r="Y38" s="51" t="inlineStr">
        <is>
          <t>8-core / quad-core x86 (SKU dependent)</t>
        </is>
      </c>
      <c r="Z38" s="51" t="inlineStr">
        <is>
          <t>8 / 64 GB (variant)</t>
        </is>
      </c>
      <c r="AA38" s="51" t="inlineStr">
        <is>
          <t>8 GB flash / 120 GB SSD (variant)</t>
        </is>
      </c>
      <c r="AB38" s="51" t="inlineStr">
        <is>
          <t>8 GB</t>
        </is>
      </c>
      <c r="AC38" s="51" t="inlineStr">
        <is>
          <t>Yes; 2 (1+1)</t>
        </is>
      </c>
      <c r="AD38" s="51" t="inlineStr">
        <is>
          <t>Yes; 3 (N+1)</t>
        </is>
      </c>
      <c r="AE38" s="51" t="inlineStr">
        <is>
          <t>Yes — front-to-rear / rear-to-front</t>
        </is>
      </c>
    </row>
    <row r="39" ht="72" customHeight="1">
      <c r="A39" s="22" t="n">
        <v>34</v>
      </c>
      <c r="B39" s="18" t="inlineStr">
        <is>
          <t>DCS</t>
        </is>
      </c>
      <c r="C39" s="23" t="inlineStr">
        <is>
          <t>7280R3</t>
        </is>
      </c>
      <c r="D39" s="23" t="inlineStr">
        <is>
          <t>7280CR3-36S</t>
        </is>
      </c>
      <c r="E39" s="23" t="inlineStr">
        <is>
          <t>7280CR3K-36S</t>
        </is>
      </c>
      <c r="F39" s="23" t="inlineStr">
        <is>
          <t>고정형/모듈형 deep-buffer</t>
        </is>
      </c>
      <c r="G39" s="23" t="inlineStr">
        <is>
          <t>100G DC leaf/edge</t>
        </is>
      </c>
      <c r="H39" s="36" t="inlineStr">
        <is>
          <t>보조</t>
        </is>
      </c>
      <c r="I39" s="20" t="inlineStr">
        <is>
          <t>주력</t>
        </is>
      </c>
      <c r="J39" s="22" t="inlineStr">
        <is>
          <t>-</t>
        </is>
      </c>
      <c r="K39" s="23" t="inlineStr">
        <is>
          <t>36x100G, 최대 2x400G</t>
        </is>
      </c>
      <c r="L39" s="23" t="inlineStr">
        <is>
          <t>2.4 Tbps</t>
        </is>
      </c>
      <c r="M39" s="23" t="inlineStr">
        <is>
          <t>&lt;4 us</t>
        </is>
      </c>
      <c r="N39" s="23" t="inlineStr">
        <is>
          <t>1RU</t>
        </is>
      </c>
      <c r="O39" s="23" t="inlineStr">
        <is>
          <t>-</t>
        </is>
      </c>
      <c r="P39" s="23" t="inlineStr">
        <is>
          <t>M/K 변형별; 데이터시트 참조</t>
        </is>
      </c>
      <c r="Q39" s="23" t="inlineStr">
        <is>
          <t>현행 공식 플랫폼/데이터시트 등재</t>
        </is>
      </c>
      <c r="R39" s="24" t="inlineStr">
        <is>
          <t>https://www.arista.com/en/products/platforms</t>
        </is>
      </c>
      <c r="S39" s="24" t="inlineStr">
        <is>
          <t>https://www.arista.com/assets/data/pdf/Datasheets/7280R3-Data-Sheet.pdf</t>
        </is>
      </c>
      <c r="T39" s="23" t="inlineStr"/>
      <c r="U39" s="53" t="inlineStr">
        <is>
          <t>36x100G, 최대 2x400G</t>
        </is>
      </c>
      <c r="V39" s="53" t="inlineStr">
        <is>
          <t>2.4 (4.8) Tbps</t>
        </is>
      </c>
      <c r="W39" s="53" t="inlineStr">
        <is>
          <t>1 Bpps</t>
        </is>
      </c>
      <c r="X39" s="53" t="inlineStr">
        <is>
          <t>From 3.8 µs</t>
        </is>
      </c>
      <c r="Y39" s="53" t="inlineStr">
        <is>
          <t>8-core / quad-core x86 (SKU dependent)</t>
        </is>
      </c>
      <c r="Z39" s="53" t="inlineStr">
        <is>
          <t>64 GB</t>
        </is>
      </c>
      <c r="AA39" s="53" t="inlineStr">
        <is>
          <t>8 GB flash / 120 GB SSD (variant)</t>
        </is>
      </c>
      <c r="AB39" s="53" t="inlineStr">
        <is>
          <t>4 GB</t>
        </is>
      </c>
      <c r="AC39" s="53" t="inlineStr">
        <is>
          <t>Yes; 2 (1+1)</t>
        </is>
      </c>
      <c r="AD39" s="53" t="inlineStr">
        <is>
          <t>Yes; 2 (N+1)</t>
        </is>
      </c>
      <c r="AE39" s="53" t="inlineStr">
        <is>
          <t>Conditional — airflow/optic restrictions apply</t>
        </is>
      </c>
    </row>
    <row r="40" ht="72" customHeight="1">
      <c r="A40" s="17" t="n">
        <v>35</v>
      </c>
      <c r="B40" s="18" t="inlineStr">
        <is>
          <t>DCS</t>
        </is>
      </c>
      <c r="C40" s="19" t="inlineStr">
        <is>
          <t>7280R3</t>
        </is>
      </c>
      <c r="D40" s="19" t="inlineStr">
        <is>
          <t>7280CR3A-32S</t>
        </is>
      </c>
      <c r="E40" s="19" t="inlineStr">
        <is>
          <t>7280CR3AM-32S / 7280CR3AK-32S</t>
        </is>
      </c>
      <c r="F40" s="19" t="inlineStr">
        <is>
          <t>고정형/모듈형 deep-buffer</t>
        </is>
      </c>
      <c r="G40" s="19" t="inlineStr">
        <is>
          <t>100G DC leaf/edge</t>
        </is>
      </c>
      <c r="H40" s="36" t="inlineStr">
        <is>
          <t>보조</t>
        </is>
      </c>
      <c r="I40" s="20" t="inlineStr">
        <is>
          <t>주력</t>
        </is>
      </c>
      <c r="J40" s="17" t="inlineStr">
        <is>
          <t>-</t>
        </is>
      </c>
      <c r="K40" s="19" t="inlineStr">
        <is>
          <t>32x100G, 최대 2x400G</t>
        </is>
      </c>
      <c r="L40" s="19" t="inlineStr">
        <is>
          <t>3.6 Tbps</t>
        </is>
      </c>
      <c r="M40" s="19" t="inlineStr">
        <is>
          <t>&lt;4 us</t>
        </is>
      </c>
      <c r="N40" s="19" t="inlineStr">
        <is>
          <t>1RU</t>
        </is>
      </c>
      <c r="O40" s="19" t="inlineStr">
        <is>
          <t>-</t>
        </is>
      </c>
      <c r="P40" s="19" t="inlineStr">
        <is>
          <t>M/K 변형별; 데이터시트 참조</t>
        </is>
      </c>
      <c r="Q40" s="19" t="inlineStr">
        <is>
          <t>현행 공식 플랫폼/데이터시트 등재</t>
        </is>
      </c>
      <c r="R40" s="21" t="inlineStr">
        <is>
          <t>https://www.arista.com/en/products/platforms</t>
        </is>
      </c>
      <c r="S40" s="21" t="inlineStr">
        <is>
          <t>https://www.arista.com/assets/data/pdf/Datasheets/7280R3A-Datasheet.pdf</t>
        </is>
      </c>
      <c r="T40" s="19" t="inlineStr"/>
      <c r="U40" s="51" t="inlineStr">
        <is>
          <t>32x100G, 최대 2x400G</t>
        </is>
      </c>
      <c r="V40" s="51" t="inlineStr">
        <is>
          <t>3.6 (7.2) Tbps</t>
        </is>
      </c>
      <c r="W40" s="51" t="inlineStr">
        <is>
          <t>1.35 Bpps</t>
        </is>
      </c>
      <c r="X40" s="51" t="inlineStr">
        <is>
          <t>From 3.8 µs</t>
        </is>
      </c>
      <c r="Y40" s="51" t="inlineStr">
        <is>
          <t>8-core x86</t>
        </is>
      </c>
      <c r="Z40" s="51" t="inlineStr">
        <is>
          <t>64 GB</t>
        </is>
      </c>
      <c r="AA40" s="51" t="inlineStr">
        <is>
          <t>120 GB SSD</t>
        </is>
      </c>
      <c r="AB40" s="51" t="inlineStr">
        <is>
          <t>4 GB</t>
        </is>
      </c>
      <c r="AC40" s="51" t="inlineStr">
        <is>
          <t>Yes; 2 (1+1)</t>
        </is>
      </c>
      <c r="AD40" s="51" t="inlineStr">
        <is>
          <t>Yes; 3 (N+1)</t>
        </is>
      </c>
      <c r="AE40" s="51" t="inlineStr">
        <is>
          <t>Yes — front-to-rear / rear-to-front</t>
        </is>
      </c>
    </row>
    <row r="41" ht="72" customHeight="1">
      <c r="A41" s="22" t="n">
        <v>36</v>
      </c>
      <c r="B41" s="18" t="inlineStr">
        <is>
          <t>DCS</t>
        </is>
      </c>
      <c r="C41" s="23" t="inlineStr">
        <is>
          <t>7280R3</t>
        </is>
      </c>
      <c r="D41" s="23" t="inlineStr">
        <is>
          <t>7280CR3-96</t>
        </is>
      </c>
      <c r="E41" s="23" t="inlineStr">
        <is>
          <t>7280CR3K-96</t>
        </is>
      </c>
      <c r="F41" s="23" t="inlineStr">
        <is>
          <t>고정형/모듈형 deep-buffer</t>
        </is>
      </c>
      <c r="G41" s="23" t="inlineStr">
        <is>
          <t>High-density 100G DC</t>
        </is>
      </c>
      <c r="H41" s="36" t="inlineStr">
        <is>
          <t>보조</t>
        </is>
      </c>
      <c r="I41" s="20" t="inlineStr">
        <is>
          <t>주력</t>
        </is>
      </c>
      <c r="J41" s="22" t="inlineStr">
        <is>
          <t>-</t>
        </is>
      </c>
      <c r="K41" s="23" t="inlineStr">
        <is>
          <t>96x100G</t>
        </is>
      </c>
      <c r="L41" s="23" t="inlineStr">
        <is>
          <t>9.6 Tbps</t>
        </is>
      </c>
      <c r="M41" s="23" t="inlineStr">
        <is>
          <t>&lt;4 us</t>
        </is>
      </c>
      <c r="N41" s="23" t="inlineStr">
        <is>
          <t>2RU</t>
        </is>
      </c>
      <c r="O41" s="23" t="inlineStr">
        <is>
          <t>-</t>
        </is>
      </c>
      <c r="P41" s="23" t="inlineStr">
        <is>
          <t>M/K 변형별; 데이터시트 참조</t>
        </is>
      </c>
      <c r="Q41" s="23" t="inlineStr">
        <is>
          <t>현행 공식 플랫폼/데이터시트 등재</t>
        </is>
      </c>
      <c r="R41" s="24" t="inlineStr">
        <is>
          <t>https://www.arista.com/en/products/platforms</t>
        </is>
      </c>
      <c r="S41" s="24" t="inlineStr">
        <is>
          <t>https://www.arista.com/assets/data/pdf/Datasheets/7280R3-Data-Sheet.pdf</t>
        </is>
      </c>
      <c r="T41" s="23" t="inlineStr"/>
      <c r="U41" s="53" t="inlineStr">
        <is>
          <t>96x100G</t>
        </is>
      </c>
      <c r="V41" s="53" t="inlineStr">
        <is>
          <t>9.6 (19.2) Tbps</t>
        </is>
      </c>
      <c r="W41" s="53" t="inlineStr">
        <is>
          <t>4 Bpps</t>
        </is>
      </c>
      <c r="X41" s="53" t="inlineStr">
        <is>
          <t>From 3.8 µs</t>
        </is>
      </c>
      <c r="Y41" s="53" t="inlineStr">
        <is>
          <t>Quad-core x86</t>
        </is>
      </c>
      <c r="Z41" s="53" t="inlineStr">
        <is>
          <t>64 GB</t>
        </is>
      </c>
      <c r="AA41" s="53" t="inlineStr">
        <is>
          <t>8 GB flash + 120 GB SSD</t>
        </is>
      </c>
      <c r="AB41" s="53" t="inlineStr">
        <is>
          <t>16 GB</t>
        </is>
      </c>
      <c r="AC41" s="53" t="inlineStr">
        <is>
          <t>Yes; 2 (1+1)</t>
        </is>
      </c>
      <c r="AD41" s="53" t="inlineStr">
        <is>
          <t>Yes; 4 (N+1)</t>
        </is>
      </c>
      <c r="AE41" s="53" t="inlineStr">
        <is>
          <t>No — front-to-rear only</t>
        </is>
      </c>
    </row>
    <row r="42" ht="72" customHeight="1">
      <c r="A42" s="17" t="n">
        <v>37</v>
      </c>
      <c r="B42" s="18" t="inlineStr">
        <is>
          <t>DCS</t>
        </is>
      </c>
      <c r="C42" s="19" t="inlineStr">
        <is>
          <t>7280R3</t>
        </is>
      </c>
      <c r="D42" s="19" t="inlineStr">
        <is>
          <t>7280CR3A-72</t>
        </is>
      </c>
      <c r="E42" s="19" t="inlineStr">
        <is>
          <t>7280CR3AM-72 / 7280CR3AK-72</t>
        </is>
      </c>
      <c r="F42" s="19" t="inlineStr">
        <is>
          <t>고정형/모듈형 deep-buffer</t>
        </is>
      </c>
      <c r="G42" s="19" t="inlineStr">
        <is>
          <t>High-density 100G DC</t>
        </is>
      </c>
      <c r="H42" s="36" t="inlineStr">
        <is>
          <t>보조</t>
        </is>
      </c>
      <c r="I42" s="20" t="inlineStr">
        <is>
          <t>주력</t>
        </is>
      </c>
      <c r="J42" s="17" t="inlineStr">
        <is>
          <t>-</t>
        </is>
      </c>
      <c r="K42" s="19" t="inlineStr">
        <is>
          <t>72x100G</t>
        </is>
      </c>
      <c r="L42" s="19" t="inlineStr">
        <is>
          <t>7.2 Tbps</t>
        </is>
      </c>
      <c r="M42" s="19" t="inlineStr">
        <is>
          <t>&lt;4 us</t>
        </is>
      </c>
      <c r="N42" s="19" t="inlineStr">
        <is>
          <t>2RU</t>
        </is>
      </c>
      <c r="O42" s="19" t="inlineStr">
        <is>
          <t>-</t>
        </is>
      </c>
      <c r="P42" s="19" t="inlineStr">
        <is>
          <t>M/K 변형별; 데이터시트 참조</t>
        </is>
      </c>
      <c r="Q42" s="19" t="inlineStr">
        <is>
          <t>현행 공식 플랫폼/데이터시트 등재</t>
        </is>
      </c>
      <c r="R42" s="21" t="inlineStr">
        <is>
          <t>https://www.arista.com/en/products/platforms</t>
        </is>
      </c>
      <c r="S42" s="21" t="inlineStr">
        <is>
          <t>https://www.arista.com/assets/data/pdf/Datasheets/7280R3A-Datasheet.pdf</t>
        </is>
      </c>
      <c r="T42" s="19" t="inlineStr"/>
      <c r="U42" s="51" t="inlineStr">
        <is>
          <t>72x100G</t>
        </is>
      </c>
      <c r="V42" s="51" t="inlineStr">
        <is>
          <t>7.2 (14.4) Tbps</t>
        </is>
      </c>
      <c r="W42" s="51" t="inlineStr">
        <is>
          <t>2.7 Bpps</t>
        </is>
      </c>
      <c r="X42" s="51" t="inlineStr">
        <is>
          <t>From 3.8 µs</t>
        </is>
      </c>
      <c r="Y42" s="51" t="inlineStr">
        <is>
          <t>8-core x86</t>
        </is>
      </c>
      <c r="Z42" s="51" t="inlineStr">
        <is>
          <t>64 GB</t>
        </is>
      </c>
      <c r="AA42" s="51" t="inlineStr">
        <is>
          <t>120 GB SSD</t>
        </is>
      </c>
      <c r="AB42" s="51" t="inlineStr">
        <is>
          <t>8 GB</t>
        </is>
      </c>
      <c r="AC42" s="51" t="inlineStr">
        <is>
          <t>Yes; 2 (1+1)</t>
        </is>
      </c>
      <c r="AD42" s="51" t="inlineStr">
        <is>
          <t>Yes; 4 (N+1)</t>
        </is>
      </c>
      <c r="AE42" s="51" t="inlineStr">
        <is>
          <t>Yes — front-to-rear / rear-to-front</t>
        </is>
      </c>
    </row>
    <row r="43" ht="72" customHeight="1">
      <c r="A43" s="22" t="n">
        <v>38</v>
      </c>
      <c r="B43" s="18" t="inlineStr">
        <is>
          <t>DCS</t>
        </is>
      </c>
      <c r="C43" s="23" t="inlineStr">
        <is>
          <t>7280R3</t>
        </is>
      </c>
      <c r="D43" s="23" t="inlineStr">
        <is>
          <t>7280SR3A-48YC8</t>
        </is>
      </c>
      <c r="E43" s="23" t="inlineStr">
        <is>
          <t>7280SR3AM-48YC8 / 7280SR3AK-48YC8</t>
        </is>
      </c>
      <c r="F43" s="23" t="inlineStr">
        <is>
          <t>고정형/모듈형 deep-buffer</t>
        </is>
      </c>
      <c r="G43" s="23" t="inlineStr">
        <is>
          <t>Server/storage leaf</t>
        </is>
      </c>
      <c r="H43" s="36" t="inlineStr">
        <is>
          <t>보조</t>
        </is>
      </c>
      <c r="I43" s="20" t="inlineStr">
        <is>
          <t>주력</t>
        </is>
      </c>
      <c r="J43" s="22" t="inlineStr">
        <is>
          <t>-</t>
        </is>
      </c>
      <c r="K43" s="23" t="inlineStr">
        <is>
          <t>48x50G + 6x200G/8x100G</t>
        </is>
      </c>
      <c r="L43" s="23" t="inlineStr">
        <is>
          <t>3.6 Tbps</t>
        </is>
      </c>
      <c r="M43" s="23" t="inlineStr">
        <is>
          <t>&lt;4 us</t>
        </is>
      </c>
      <c r="N43" s="23" t="inlineStr">
        <is>
          <t>1RU</t>
        </is>
      </c>
      <c r="O43" s="23" t="inlineStr">
        <is>
          <t>-</t>
        </is>
      </c>
      <c r="P43" s="23" t="inlineStr">
        <is>
          <t>M/K 변형별; 데이터시트 참조</t>
        </is>
      </c>
      <c r="Q43" s="23" t="inlineStr">
        <is>
          <t>현행 공식 플랫폼/데이터시트 등재</t>
        </is>
      </c>
      <c r="R43" s="24" t="inlineStr">
        <is>
          <t>https://www.arista.com/en/products/platforms</t>
        </is>
      </c>
      <c r="S43" s="24" t="inlineStr">
        <is>
          <t>https://www.arista.com/assets/data/pdf/Datasheets/7280R3A-Datasheet.pdf</t>
        </is>
      </c>
      <c r="T43" s="23" t="inlineStr"/>
      <c r="U43" s="53" t="inlineStr">
        <is>
          <t>48x50G + 6x200G/8x100G</t>
        </is>
      </c>
      <c r="V43" s="53" t="inlineStr">
        <is>
          <t>3.6 (7.2) Tbps</t>
        </is>
      </c>
      <c r="W43" s="53" t="inlineStr">
        <is>
          <t>1.35 Bpps</t>
        </is>
      </c>
      <c r="X43" s="53" t="inlineStr">
        <is>
          <t>From 3.8 µs</t>
        </is>
      </c>
      <c r="Y43" s="53" t="inlineStr">
        <is>
          <t>8-core x86</t>
        </is>
      </c>
      <c r="Z43" s="53" t="inlineStr">
        <is>
          <t>64 GB</t>
        </is>
      </c>
      <c r="AA43" s="53" t="inlineStr">
        <is>
          <t>120 GB SSD</t>
        </is>
      </c>
      <c r="AB43" s="53" t="inlineStr">
        <is>
          <t>4 GB</t>
        </is>
      </c>
      <c r="AC43" s="53" t="inlineStr">
        <is>
          <t>Yes; 2 (1+1)</t>
        </is>
      </c>
      <c r="AD43" s="53" t="inlineStr">
        <is>
          <t>Yes; 3 (N+1)</t>
        </is>
      </c>
      <c r="AE43" s="53" t="inlineStr">
        <is>
          <t>Yes — front-to-rear / rear-to-front</t>
        </is>
      </c>
    </row>
    <row r="44" ht="72" customHeight="1">
      <c r="A44" s="17" t="n">
        <v>39</v>
      </c>
      <c r="B44" s="18" t="inlineStr">
        <is>
          <t>DCS</t>
        </is>
      </c>
      <c r="C44" s="19" t="inlineStr">
        <is>
          <t>7280R3</t>
        </is>
      </c>
      <c r="D44" s="19" t="inlineStr">
        <is>
          <t>7280SR3-48YC8</t>
        </is>
      </c>
      <c r="E44" s="19" t="inlineStr">
        <is>
          <t>7280SR3K-48YC8</t>
        </is>
      </c>
      <c r="F44" s="19" t="inlineStr">
        <is>
          <t>고정형/모듈형 deep-buffer</t>
        </is>
      </c>
      <c r="G44" s="19" t="inlineStr">
        <is>
          <t>25G server leaf</t>
        </is>
      </c>
      <c r="H44" s="36" t="inlineStr">
        <is>
          <t>보조</t>
        </is>
      </c>
      <c r="I44" s="20" t="inlineStr">
        <is>
          <t>주력</t>
        </is>
      </c>
      <c r="J44" s="17" t="inlineStr">
        <is>
          <t>-</t>
        </is>
      </c>
      <c r="K44" s="19" t="inlineStr">
        <is>
          <t>48x25G + 8x100G</t>
        </is>
      </c>
      <c r="L44" s="19" t="inlineStr">
        <is>
          <t>2.4 Tbps</t>
        </is>
      </c>
      <c r="M44" s="19" t="inlineStr">
        <is>
          <t>&lt;4 us</t>
        </is>
      </c>
      <c r="N44" s="19" t="inlineStr">
        <is>
          <t>1RU</t>
        </is>
      </c>
      <c r="O44" s="19" t="inlineStr">
        <is>
          <t>-</t>
        </is>
      </c>
      <c r="P44" s="19" t="inlineStr">
        <is>
          <t>M/K 변형별; 데이터시트 참조</t>
        </is>
      </c>
      <c r="Q44" s="19" t="inlineStr">
        <is>
          <t>현행 공식 플랫폼/데이터시트 등재</t>
        </is>
      </c>
      <c r="R44" s="21" t="inlineStr">
        <is>
          <t>https://www.arista.com/en/products/platforms</t>
        </is>
      </c>
      <c r="S44" s="21" t="inlineStr">
        <is>
          <t>https://www.arista.com/assets/data/pdf/Datasheets/7280R3-Data-Sheet.pdf</t>
        </is>
      </c>
      <c r="T44" s="19" t="inlineStr"/>
      <c r="U44" s="51" t="inlineStr">
        <is>
          <t>48x25G + 8x100G</t>
        </is>
      </c>
      <c r="V44" s="51" t="inlineStr">
        <is>
          <t>2.0 (4.0) Tbps</t>
        </is>
      </c>
      <c r="W44" s="51" t="inlineStr">
        <is>
          <t>1 Bpps</t>
        </is>
      </c>
      <c r="X44" s="51" t="inlineStr">
        <is>
          <t>From 3.8 µs</t>
        </is>
      </c>
      <c r="Y44" s="51" t="inlineStr">
        <is>
          <t>Quad-core x86</t>
        </is>
      </c>
      <c r="Z44" s="51" t="inlineStr">
        <is>
          <t>8 / 64 GB (K variant)</t>
        </is>
      </c>
      <c r="AA44" s="51" t="inlineStr">
        <is>
          <t>8 GB flash / 120 GB SSD (variant)</t>
        </is>
      </c>
      <c r="AB44" s="51" t="inlineStr">
        <is>
          <t>4 GB</t>
        </is>
      </c>
      <c r="AC44" s="51" t="inlineStr">
        <is>
          <t>Yes; 2 (1+1)</t>
        </is>
      </c>
      <c r="AD44" s="51" t="inlineStr">
        <is>
          <t>Yes; 2 (N+1)</t>
        </is>
      </c>
      <c r="AE44" s="51" t="inlineStr">
        <is>
          <t>Yes — front-to-rear / rear-to-front</t>
        </is>
      </c>
    </row>
    <row r="45" ht="72" customHeight="1">
      <c r="A45" s="22" t="n">
        <v>40</v>
      </c>
      <c r="B45" s="18" t="inlineStr">
        <is>
          <t>DCS</t>
        </is>
      </c>
      <c r="C45" s="23" t="inlineStr">
        <is>
          <t>7280R3</t>
        </is>
      </c>
      <c r="D45" s="23" t="inlineStr">
        <is>
          <t>7280SR3-40YC6</t>
        </is>
      </c>
      <c r="E45" s="23" t="inlineStr"/>
      <c r="F45" s="23" t="inlineStr">
        <is>
          <t>고정형/모듈형 deep-buffer</t>
        </is>
      </c>
      <c r="G45" s="23" t="inlineStr">
        <is>
          <t>25G server leaf</t>
        </is>
      </c>
      <c r="H45" s="36" t="inlineStr">
        <is>
          <t>보조</t>
        </is>
      </c>
      <c r="I45" s="20" t="inlineStr">
        <is>
          <t>주력</t>
        </is>
      </c>
      <c r="J45" s="22" t="inlineStr">
        <is>
          <t>-</t>
        </is>
      </c>
      <c r="K45" s="23" t="inlineStr">
        <is>
          <t>40x25G + 6x100G</t>
        </is>
      </c>
      <c r="L45" s="23" t="inlineStr">
        <is>
          <t>800 Gbps</t>
        </is>
      </c>
      <c r="M45" s="23" t="inlineStr">
        <is>
          <t>&lt;4 us</t>
        </is>
      </c>
      <c r="N45" s="23" t="inlineStr">
        <is>
          <t>1RU</t>
        </is>
      </c>
      <c r="O45" s="23" t="inlineStr">
        <is>
          <t>-</t>
        </is>
      </c>
      <c r="P45" s="23" t="inlineStr">
        <is>
          <t>데이터시트 참조</t>
        </is>
      </c>
      <c r="Q45" s="23" t="inlineStr">
        <is>
          <t>현행 공식 플랫폼/데이터시트 등재</t>
        </is>
      </c>
      <c r="R45" s="24" t="inlineStr">
        <is>
          <t>https://www.arista.com/en/products/platforms</t>
        </is>
      </c>
      <c r="S45" s="24" t="inlineStr">
        <is>
          <t>https://www.arista.com/assets/data/pdf/Datasheets/7280R3-Data-Sheet.pdf</t>
        </is>
      </c>
      <c r="T45" s="23" t="inlineStr"/>
      <c r="U45" s="53" t="inlineStr">
        <is>
          <t>40x25G + 6x100G</t>
        </is>
      </c>
      <c r="V45" s="53" t="inlineStr">
        <is>
          <t>0.8 (1.6) Tbps</t>
        </is>
      </c>
      <c r="W45" s="53" t="inlineStr">
        <is>
          <t>600 Mpps</t>
        </is>
      </c>
      <c r="X45" s="53" t="inlineStr">
        <is>
          <t>From 3.8 µs</t>
        </is>
      </c>
      <c r="Y45" s="53" t="inlineStr">
        <is>
          <t>Quad-core x86</t>
        </is>
      </c>
      <c r="Z45" s="53" t="inlineStr">
        <is>
          <t>8 GB</t>
        </is>
      </c>
      <c r="AA45" s="53" t="inlineStr">
        <is>
          <t>8 GB flash</t>
        </is>
      </c>
      <c r="AB45" s="53" t="inlineStr">
        <is>
          <t>2 GB</t>
        </is>
      </c>
      <c r="AC45" s="53" t="inlineStr">
        <is>
          <t>Yes; 2 (1+1)</t>
        </is>
      </c>
      <c r="AD45" s="53" t="inlineStr">
        <is>
          <t>Yes; 2 (N+1)</t>
        </is>
      </c>
      <c r="AE45" s="53" t="inlineStr">
        <is>
          <t>Yes — front-to-rear / rear-to-front</t>
        </is>
      </c>
    </row>
    <row r="46" ht="72" customHeight="1">
      <c r="A46" s="25" t="n">
        <v>41</v>
      </c>
      <c r="B46" s="26" t="inlineStr">
        <is>
          <t>DCS</t>
        </is>
      </c>
      <c r="C46" s="27" t="inlineStr">
        <is>
          <t>7130</t>
        </is>
      </c>
      <c r="D46" s="27" t="inlineStr">
        <is>
          <t>7135V-48Y-4QC</t>
        </is>
      </c>
      <c r="E46" s="27" t="inlineStr">
        <is>
          <t>DCS-7135V-48Y-4QC 계열</t>
        </is>
      </c>
      <c r="F46" s="27" t="inlineStr">
        <is>
          <t>초저지연 Layer 1/1+</t>
        </is>
      </c>
      <c r="G46" s="27" t="inlineStr">
        <is>
          <t>Electronic trading, FPGA-enabled Layer 1+</t>
        </is>
      </c>
      <c r="H46" s="25" t="inlineStr">
        <is>
          <t>-</t>
        </is>
      </c>
      <c r="I46" s="37" t="inlineStr">
        <is>
          <t>특화</t>
        </is>
      </c>
      <c r="J46" s="25" t="inlineStr">
        <is>
          <t>-</t>
        </is>
      </c>
      <c r="K46" s="27" t="inlineStr">
        <is>
          <t>48xSFP28 + 4xQSFP100</t>
        </is>
      </c>
      <c r="L46" s="27" t="inlineStr">
        <is>
          <t>3.2 Tbps</t>
        </is>
      </c>
      <c r="M46" s="27" t="inlineStr">
        <is>
          <t>5 ns</t>
        </is>
      </c>
      <c r="N46" s="27" t="inlineStr">
        <is>
          <t>1RU</t>
        </is>
      </c>
      <c r="O46" s="27" t="inlineStr">
        <is>
          <t>-</t>
        </is>
      </c>
      <c r="P46" s="27" t="inlineStr">
        <is>
          <t>-</t>
        </is>
      </c>
      <c r="Q46" s="27" t="inlineStr">
        <is>
          <t>현행 공식 플랫폼/데이터시트 등재</t>
        </is>
      </c>
      <c r="R46" s="30" t="inlineStr">
        <is>
          <t>https://www.arista.com/en/products/platforms</t>
        </is>
      </c>
      <c r="S46" s="30" t="inlineStr">
        <is>
          <t>https://www.arista.com/assets/data/pdf/Datasheets/7135V-Datasheet.pdf</t>
        </is>
      </c>
      <c r="T46" s="27" t="inlineStr"/>
      <c r="U46" s="54" t="inlineStr">
        <is>
          <t>48xSFP28 + 4xQSFP100</t>
        </is>
      </c>
      <c r="V46" s="54" t="inlineStr">
        <is>
          <t>3.2 Tbps front I/O (1–25.8 Gbps/lane)</t>
        </is>
      </c>
      <c r="W46" s="56" t="inlineStr">
        <is>
          <t>미기재(공식 데이터시트)</t>
        </is>
      </c>
      <c r="X46" s="54" t="inlineStr">
        <is>
          <t>From 5 ns</t>
        </is>
      </c>
      <c r="Y46" s="54" t="inlineStr">
        <is>
          <t>8-core x86</t>
        </is>
      </c>
      <c r="Z46" s="54" t="inlineStr">
        <is>
          <t>32 GB DRAM</t>
        </is>
      </c>
      <c r="AA46" s="54" t="inlineStr">
        <is>
          <t>240 GB SSD</t>
        </is>
      </c>
      <c r="AB46" s="54" t="inlineStr">
        <is>
          <t>16 GB deep buffer (MetaWatch/application dependent)</t>
        </is>
      </c>
      <c r="AC46" s="54" t="inlineStr">
        <is>
          <t>Yes; 2 (1+1)</t>
        </is>
      </c>
      <c r="AD46" s="54" t="inlineStr">
        <is>
          <t>Yes; 3 (N+1)</t>
        </is>
      </c>
      <c r="AE46" s="54" t="inlineStr">
        <is>
          <t>Yes — reversible airflow</t>
        </is>
      </c>
    </row>
    <row r="47" ht="72" customHeight="1">
      <c r="A47" s="22" t="n">
        <v>42</v>
      </c>
      <c r="B47" s="18" t="inlineStr">
        <is>
          <t>DCS</t>
        </is>
      </c>
      <c r="C47" s="23" t="inlineStr">
        <is>
          <t>7130</t>
        </is>
      </c>
      <c r="D47" s="23" t="inlineStr">
        <is>
          <t>7130LBR-48S6QD</t>
        </is>
      </c>
      <c r="E47" s="23" t="inlineStr">
        <is>
          <t>DCS-7130LBR-48S6QD 계열</t>
        </is>
      </c>
      <c r="F47" s="23" t="inlineStr">
        <is>
          <t>초저지연 Layer 1/1+</t>
        </is>
      </c>
      <c r="G47" s="23" t="inlineStr">
        <is>
          <t>Electronic trading, Layer 1 replication</t>
        </is>
      </c>
      <c r="H47" s="22" t="inlineStr">
        <is>
          <t>-</t>
        </is>
      </c>
      <c r="I47" s="38" t="inlineStr">
        <is>
          <t>특화</t>
        </is>
      </c>
      <c r="J47" s="22" t="inlineStr">
        <is>
          <t>-</t>
        </is>
      </c>
      <c r="K47" s="23" t="inlineStr">
        <is>
          <t>48xSFP+ + 6xQSFP-DD (10G NRZ)</t>
        </is>
      </c>
      <c r="L47" s="23" t="inlineStr">
        <is>
          <t>1.5 Tbps</t>
        </is>
      </c>
      <c r="M47" s="23" t="inlineStr">
        <is>
          <t>6 ns</t>
        </is>
      </c>
      <c r="N47" s="23" t="inlineStr">
        <is>
          <t>1RU</t>
        </is>
      </c>
      <c r="O47" s="23" t="inlineStr">
        <is>
          <t>-</t>
        </is>
      </c>
      <c r="P47" s="23" t="inlineStr">
        <is>
          <t>-</t>
        </is>
      </c>
      <c r="Q47" s="23" t="inlineStr">
        <is>
          <t>현행 공식 플랫폼/데이터시트 등재</t>
        </is>
      </c>
      <c r="R47" s="24" t="inlineStr">
        <is>
          <t>https://www.arista.com/en/products/platforms</t>
        </is>
      </c>
      <c r="S47" s="24" t="inlineStr">
        <is>
          <t>https://www.arista.com/assets/data/pdf/Datasheets/7130LBR-Datasheet.pdf</t>
        </is>
      </c>
      <c r="T47" s="23" t="inlineStr"/>
      <c r="U47" s="53" t="inlineStr">
        <is>
          <t>48xSFP+ + 6xQSFP-DD (10G NRZ)</t>
        </is>
      </c>
      <c r="V47" s="53" t="inlineStr">
        <is>
          <t>1.5 Tbps switch throughput; 1–25.8 Gbps/lane</t>
        </is>
      </c>
      <c r="W47" s="52" t="inlineStr">
        <is>
          <t>미기재(공식 데이터시트)</t>
        </is>
      </c>
      <c r="X47" s="53" t="inlineStr">
        <is>
          <t>4–5 ns (L1 path)</t>
        </is>
      </c>
      <c r="Y47" s="53" t="inlineStr">
        <is>
          <t>8-core x86</t>
        </is>
      </c>
      <c r="Z47" s="53" t="inlineStr">
        <is>
          <t>64 GB DRAM</t>
        </is>
      </c>
      <c r="AA47" s="53" t="inlineStr">
        <is>
          <t>120 GB SSD</t>
        </is>
      </c>
      <c r="AB47" s="53" t="inlineStr">
        <is>
          <t>4 GB</t>
        </is>
      </c>
      <c r="AC47" s="53" t="inlineStr">
        <is>
          <t>Yes; 2 (1+1)</t>
        </is>
      </c>
      <c r="AD47" s="53" t="inlineStr">
        <is>
          <t>Yes; 3 (N+1)</t>
        </is>
      </c>
      <c r="AE47" s="53" t="inlineStr">
        <is>
          <t>Yes — reversible airflow</t>
        </is>
      </c>
    </row>
    <row r="48" ht="72" customHeight="1">
      <c r="A48" s="17" t="n">
        <v>43</v>
      </c>
      <c r="B48" s="18" t="inlineStr">
        <is>
          <t>DCS</t>
        </is>
      </c>
      <c r="C48" s="19" t="inlineStr">
        <is>
          <t>7130</t>
        </is>
      </c>
      <c r="D48" s="19" t="inlineStr">
        <is>
          <t>7132LB-48Y4C</t>
        </is>
      </c>
      <c r="E48" s="19" t="inlineStr">
        <is>
          <t>DCS-7132LB-48Y4C 계열</t>
        </is>
      </c>
      <c r="F48" s="19" t="inlineStr">
        <is>
          <t>초저지연 Layer 1/1+</t>
        </is>
      </c>
      <c r="G48" s="19" t="inlineStr">
        <is>
          <t>Ultra-low-latency DC switching</t>
        </is>
      </c>
      <c r="H48" s="17" t="inlineStr">
        <is>
          <t>-</t>
        </is>
      </c>
      <c r="I48" s="38" t="inlineStr">
        <is>
          <t>특화</t>
        </is>
      </c>
      <c r="J48" s="17" t="inlineStr">
        <is>
          <t>-</t>
        </is>
      </c>
      <c r="K48" s="19" t="inlineStr">
        <is>
          <t>48xSFP28 + 4xQSFP100</t>
        </is>
      </c>
      <c r="L48" s="19" t="inlineStr">
        <is>
          <t>3.2 Tbps</t>
        </is>
      </c>
      <c r="M48" s="19" t="inlineStr">
        <is>
          <t>89 ns</t>
        </is>
      </c>
      <c r="N48" s="19" t="inlineStr">
        <is>
          <t>2RU</t>
        </is>
      </c>
      <c r="O48" s="19" t="inlineStr">
        <is>
          <t>-</t>
        </is>
      </c>
      <c r="P48" s="19" t="inlineStr">
        <is>
          <t>-</t>
        </is>
      </c>
      <c r="Q48" s="19" t="inlineStr">
        <is>
          <t>현행 공식 플랫폼/데이터시트 등재</t>
        </is>
      </c>
      <c r="R48" s="21" t="inlineStr">
        <is>
          <t>https://www.arista.com/en/products/platforms</t>
        </is>
      </c>
      <c r="S48" s="21" t="inlineStr">
        <is>
          <t>https://www.arista.com/assets/data/pdf/Datasheets/7132LB-Datasheet.pdf</t>
        </is>
      </c>
      <c r="T48" s="19" t="inlineStr"/>
      <c r="U48" s="51" t="inlineStr">
        <is>
          <t>48xSFP28 + 4xQSFP100</t>
        </is>
      </c>
      <c r="V48" s="51" t="inlineStr">
        <is>
          <t>1.6 (3.2) Tbps front I/O</t>
        </is>
      </c>
      <c r="W48" s="52" t="inlineStr">
        <is>
          <t>미기재(공식 데이터시트)</t>
        </is>
      </c>
      <c r="X48" s="51" t="inlineStr">
        <is>
          <t>From 89 ns (switch application)</t>
        </is>
      </c>
      <c r="Y48" s="51" t="inlineStr">
        <is>
          <t>8-core x86</t>
        </is>
      </c>
      <c r="Z48" s="51" t="inlineStr">
        <is>
          <t>32 GB DDR4</t>
        </is>
      </c>
      <c r="AA48" s="51" t="inlineStr">
        <is>
          <t>120 GB SSD</t>
        </is>
      </c>
      <c r="AB48" s="52" t="inlineStr">
        <is>
          <t>미기재(공식 데이터시트)</t>
        </is>
      </c>
      <c r="AC48" s="51" t="inlineStr">
        <is>
          <t>Yes; 2 (1+1)</t>
        </is>
      </c>
      <c r="AD48" s="51" t="inlineStr">
        <is>
          <t>Yes; 2 (N+1)</t>
        </is>
      </c>
      <c r="AE48" s="51" t="inlineStr">
        <is>
          <t>Yes — reversible airflow</t>
        </is>
      </c>
    </row>
    <row r="49" ht="72" customHeight="1">
      <c r="A49" s="22" t="n">
        <v>44</v>
      </c>
      <c r="B49" s="18" t="inlineStr">
        <is>
          <t>DCS</t>
        </is>
      </c>
      <c r="C49" s="23" t="inlineStr">
        <is>
          <t>7130</t>
        </is>
      </c>
      <c r="D49" s="23" t="inlineStr">
        <is>
          <t>7135LB-48Y4C</t>
        </is>
      </c>
      <c r="E49" s="23" t="inlineStr">
        <is>
          <t>DCS-7135LB-48Y4C 계열</t>
        </is>
      </c>
      <c r="F49" s="23" t="inlineStr">
        <is>
          <t>초저지연 Layer 1/1+</t>
        </is>
      </c>
      <c r="G49" s="23" t="inlineStr">
        <is>
          <t>Ultra-low-latency Layer 1 switching</t>
        </is>
      </c>
      <c r="H49" s="22" t="inlineStr">
        <is>
          <t>-</t>
        </is>
      </c>
      <c r="I49" s="38" t="inlineStr">
        <is>
          <t>특화</t>
        </is>
      </c>
      <c r="J49" s="22" t="inlineStr">
        <is>
          <t>-</t>
        </is>
      </c>
      <c r="K49" s="23" t="inlineStr">
        <is>
          <t>48xSFP28 + 4xQSFP100</t>
        </is>
      </c>
      <c r="L49" s="23" t="inlineStr">
        <is>
          <t>3.2 Tbps</t>
        </is>
      </c>
      <c r="M49" s="23" t="inlineStr">
        <is>
          <t>5 ns</t>
        </is>
      </c>
      <c r="N49" s="23" t="inlineStr">
        <is>
          <t>1RU</t>
        </is>
      </c>
      <c r="O49" s="23" t="inlineStr">
        <is>
          <t>-</t>
        </is>
      </c>
      <c r="P49" s="23" t="inlineStr">
        <is>
          <t>-</t>
        </is>
      </c>
      <c r="Q49" s="23" t="inlineStr">
        <is>
          <t>현행 공식 플랫폼/데이터시트 등재</t>
        </is>
      </c>
      <c r="R49" s="24" t="inlineStr">
        <is>
          <t>https://www.arista.com/en/products/platforms</t>
        </is>
      </c>
      <c r="S49" s="24" t="inlineStr">
        <is>
          <t>https://www.arista.com/assets/data/pdf/Datasheets/7135LB-Datasheet.pdf</t>
        </is>
      </c>
      <c r="T49" s="23" t="inlineStr"/>
      <c r="U49" s="53" t="inlineStr">
        <is>
          <t>48xSFP28 + 4xQSFP100</t>
        </is>
      </c>
      <c r="V49" s="53" t="inlineStr">
        <is>
          <t>3.2 Tbps front I/O (100M–25.8 Gbps/lane)</t>
        </is>
      </c>
      <c r="W49" s="52" t="inlineStr">
        <is>
          <t>미기재(공식 데이터시트)</t>
        </is>
      </c>
      <c r="X49" s="53" t="inlineStr">
        <is>
          <t>From 5 ns</t>
        </is>
      </c>
      <c r="Y49" s="53" t="inlineStr">
        <is>
          <t>8-core x86</t>
        </is>
      </c>
      <c r="Z49" s="53" t="inlineStr">
        <is>
          <t>32 GB DRAM</t>
        </is>
      </c>
      <c r="AA49" s="53" t="inlineStr">
        <is>
          <t>120 GB SSD</t>
        </is>
      </c>
      <c r="AB49" s="53" t="inlineStr">
        <is>
          <t>32 GB deep buffer (MetaWatch/application dependent)</t>
        </is>
      </c>
      <c r="AC49" s="53" t="inlineStr">
        <is>
          <t>Yes; 2 (1+1)</t>
        </is>
      </c>
      <c r="AD49" s="53" t="inlineStr">
        <is>
          <t>Yes; 3 (N+1)</t>
        </is>
      </c>
      <c r="AE49" s="53" t="inlineStr">
        <is>
          <t>Yes — reversible airflow</t>
        </is>
      </c>
    </row>
    <row r="50" ht="72" customHeight="1">
      <c r="A50" s="17" t="n">
        <v>45</v>
      </c>
      <c r="B50" s="18" t="inlineStr">
        <is>
          <t>DCS</t>
        </is>
      </c>
      <c r="C50" s="19" t="inlineStr">
        <is>
          <t>7130</t>
        </is>
      </c>
      <c r="D50" s="19" t="inlineStr">
        <is>
          <t>7130-48EHS</t>
        </is>
      </c>
      <c r="E50" s="19" t="inlineStr">
        <is>
          <t>DCS-7130-48EHS 계열</t>
        </is>
      </c>
      <c r="F50" s="19" t="inlineStr">
        <is>
          <t>초저지연 Layer 1/1+</t>
        </is>
      </c>
      <c r="G50" s="19" t="inlineStr">
        <is>
          <t>Electronic trading / Layer 1</t>
        </is>
      </c>
      <c r="H50" s="17" t="inlineStr">
        <is>
          <t>-</t>
        </is>
      </c>
      <c r="I50" s="38" t="inlineStr">
        <is>
          <t>특화</t>
        </is>
      </c>
      <c r="J50" s="17" t="inlineStr">
        <is>
          <t>-</t>
        </is>
      </c>
      <c r="K50" s="19" t="inlineStr">
        <is>
          <t>48xSFP+</t>
        </is>
      </c>
      <c r="L50" s="19" t="inlineStr">
        <is>
          <t>960 Gbps</t>
        </is>
      </c>
      <c r="M50" s="19" t="inlineStr">
        <is>
          <t>5 ns</t>
        </is>
      </c>
      <c r="N50" s="19" t="inlineStr">
        <is>
          <t>1RU</t>
        </is>
      </c>
      <c r="O50" s="19" t="inlineStr">
        <is>
          <t>-</t>
        </is>
      </c>
      <c r="P50" s="19" t="inlineStr">
        <is>
          <t>-</t>
        </is>
      </c>
      <c r="Q50" s="19" t="inlineStr">
        <is>
          <t>현행 공식 플랫폼/데이터시트 등재</t>
        </is>
      </c>
      <c r="R50" s="21" t="inlineStr">
        <is>
          <t>https://www.arista.com/en/products/platforms</t>
        </is>
      </c>
      <c r="S50" s="21" t="inlineStr">
        <is>
          <t>https://www.arista.com/assets/data/pdf/Datasheets/7130E-Series-Data-Sheet.pdf</t>
        </is>
      </c>
      <c r="T50" s="19" t="inlineStr"/>
      <c r="U50" s="51" t="inlineStr">
        <is>
          <t>48xSFP+</t>
        </is>
      </c>
      <c r="V50" s="51" t="inlineStr">
        <is>
          <t>960 Gbps</t>
        </is>
      </c>
      <c r="W50" s="52" t="inlineStr">
        <is>
          <t>미기재(공식 데이터시트)</t>
        </is>
      </c>
      <c r="X50" s="51" t="inlineStr">
        <is>
          <t>Approx. 3–5 ns (solution brief)</t>
        </is>
      </c>
      <c r="Y50" s="52" t="inlineStr">
        <is>
          <t>x86 (details not stated)</t>
        </is>
      </c>
      <c r="Z50" s="52" t="inlineStr">
        <is>
          <t>미기재(공식 데이터시트)</t>
        </is>
      </c>
      <c r="AA50" s="52" t="inlineStr">
        <is>
          <t>미기재(공식 데이터시트)</t>
        </is>
      </c>
      <c r="AB50" s="52" t="inlineStr">
        <is>
          <t>미기재(공식 데이터시트)</t>
        </is>
      </c>
      <c r="AC50" s="52" t="inlineStr">
        <is>
          <t>미기재(공식 데이터시트)</t>
        </is>
      </c>
      <c r="AD50" s="52" t="inlineStr">
        <is>
          <t>미기재(공식 데이터시트)</t>
        </is>
      </c>
      <c r="AE50" s="52" t="inlineStr">
        <is>
          <t>미기재(공식 데이터시트)</t>
        </is>
      </c>
    </row>
    <row r="51" ht="72" customHeight="1">
      <c r="A51" s="22" t="n">
        <v>46</v>
      </c>
      <c r="B51" s="18" t="inlineStr">
        <is>
          <t>DCS</t>
        </is>
      </c>
      <c r="C51" s="23" t="inlineStr">
        <is>
          <t>7130</t>
        </is>
      </c>
      <c r="D51" s="23" t="inlineStr">
        <is>
          <t>7130-96LBS</t>
        </is>
      </c>
      <c r="E51" s="23" t="inlineStr">
        <is>
          <t>DCS-7130-96LBS 계열</t>
        </is>
      </c>
      <c r="F51" s="23" t="inlineStr">
        <is>
          <t>초저지연 Layer 1/1+</t>
        </is>
      </c>
      <c r="G51" s="23" t="inlineStr">
        <is>
          <t>Layer 1 matrix / trading</t>
        </is>
      </c>
      <c r="H51" s="22" t="inlineStr">
        <is>
          <t>-</t>
        </is>
      </c>
      <c r="I51" s="38" t="inlineStr">
        <is>
          <t>특화</t>
        </is>
      </c>
      <c r="J51" s="22" t="inlineStr">
        <is>
          <t>-</t>
        </is>
      </c>
      <c r="K51" s="23" t="inlineStr">
        <is>
          <t>96xSFP+</t>
        </is>
      </c>
      <c r="L51" s="23" t="inlineStr">
        <is>
          <t>1.92 Tbps</t>
        </is>
      </c>
      <c r="M51" s="23" t="inlineStr">
        <is>
          <t>5 ns</t>
        </is>
      </c>
      <c r="N51" s="23" t="inlineStr">
        <is>
          <t>2RU</t>
        </is>
      </c>
      <c r="O51" s="23" t="inlineStr">
        <is>
          <t>-</t>
        </is>
      </c>
      <c r="P51" s="23" t="inlineStr">
        <is>
          <t>-</t>
        </is>
      </c>
      <c r="Q51" s="23" t="inlineStr">
        <is>
          <t>현행 공식 플랫폼/데이터시트 등재</t>
        </is>
      </c>
      <c r="R51" s="24" t="inlineStr">
        <is>
          <t>https://www.arista.com/en/products/platforms</t>
        </is>
      </c>
      <c r="S51" s="24" t="inlineStr">
        <is>
          <t>https://www.arista.com/assets/data/pdf/Datasheets/7130LS-Series-Data-Sheet.pdf</t>
        </is>
      </c>
      <c r="T51" s="23" t="inlineStr"/>
      <c r="U51" s="53" t="inlineStr">
        <is>
          <t>96xSFP+</t>
        </is>
      </c>
      <c r="V51" s="53" t="inlineStr">
        <is>
          <t>1.92 Tbps; 100M–11.3 Gbps/lane</t>
        </is>
      </c>
      <c r="W51" s="52" t="inlineStr">
        <is>
          <t>미기재(공식 데이터시트)</t>
        </is>
      </c>
      <c r="X51" s="53" t="inlineStr">
        <is>
          <t>6 ns</t>
        </is>
      </c>
      <c r="Y51" s="53" t="inlineStr">
        <is>
          <t>Quad-core x86</t>
        </is>
      </c>
      <c r="Z51" s="53" t="inlineStr">
        <is>
          <t>8 GB</t>
        </is>
      </c>
      <c r="AA51" s="53" t="inlineStr">
        <is>
          <t>64 GB SSD</t>
        </is>
      </c>
      <c r="AB51" s="53" t="inlineStr">
        <is>
          <t>FPGA DRAM 32 GB; packet-buffer function application dependent</t>
        </is>
      </c>
      <c r="AC51" s="53" t="inlineStr">
        <is>
          <t>Yes; 2 (1+1)</t>
        </is>
      </c>
      <c r="AD51" s="53" t="inlineStr">
        <is>
          <t>Yes; 3</t>
        </is>
      </c>
      <c r="AE51" s="53" t="inlineStr">
        <is>
          <t>Yes — reversible airflow</t>
        </is>
      </c>
    </row>
    <row r="52" ht="72" customHeight="1">
      <c r="A52" s="17" t="n">
        <v>47</v>
      </c>
      <c r="B52" s="18" t="inlineStr">
        <is>
          <t>DCS</t>
        </is>
      </c>
      <c r="C52" s="19" t="inlineStr">
        <is>
          <t>7130</t>
        </is>
      </c>
      <c r="D52" s="19" t="inlineStr">
        <is>
          <t>7130-48LBS</t>
        </is>
      </c>
      <c r="E52" s="19" t="inlineStr">
        <is>
          <t>DCS-7130-48LBS 계열</t>
        </is>
      </c>
      <c r="F52" s="19" t="inlineStr">
        <is>
          <t>초저지연 Layer 1/1+</t>
        </is>
      </c>
      <c r="G52" s="19" t="inlineStr">
        <is>
          <t>Layer 1 matrix / trading</t>
        </is>
      </c>
      <c r="H52" s="17" t="inlineStr">
        <is>
          <t>-</t>
        </is>
      </c>
      <c r="I52" s="38" t="inlineStr">
        <is>
          <t>특화</t>
        </is>
      </c>
      <c r="J52" s="17" t="inlineStr">
        <is>
          <t>-</t>
        </is>
      </c>
      <c r="K52" s="19" t="inlineStr">
        <is>
          <t>48xSFP+</t>
        </is>
      </c>
      <c r="L52" s="19" t="inlineStr">
        <is>
          <t>960 Gbps</t>
        </is>
      </c>
      <c r="M52" s="19" t="inlineStr">
        <is>
          <t>5 ns</t>
        </is>
      </c>
      <c r="N52" s="19" t="inlineStr">
        <is>
          <t>1RU</t>
        </is>
      </c>
      <c r="O52" s="19" t="inlineStr">
        <is>
          <t>-</t>
        </is>
      </c>
      <c r="P52" s="19" t="inlineStr">
        <is>
          <t>-</t>
        </is>
      </c>
      <c r="Q52" s="19" t="inlineStr">
        <is>
          <t>현행 공식 플랫폼/데이터시트 등재</t>
        </is>
      </c>
      <c r="R52" s="21" t="inlineStr">
        <is>
          <t>https://www.arista.com/en/products/platforms</t>
        </is>
      </c>
      <c r="S52" s="21" t="inlineStr">
        <is>
          <t>https://www.arista.com/assets/data/pdf/Datasheets/7130LS-Series-Data-Sheet.pdf</t>
        </is>
      </c>
      <c r="T52" s="19" t="inlineStr"/>
      <c r="U52" s="51" t="inlineStr">
        <is>
          <t>48xSFP+</t>
        </is>
      </c>
      <c r="V52" s="51" t="inlineStr">
        <is>
          <t>960 Gbps; 100M–11.3 Gbps/lane</t>
        </is>
      </c>
      <c r="W52" s="52" t="inlineStr">
        <is>
          <t>미기재(공식 데이터시트)</t>
        </is>
      </c>
      <c r="X52" s="51" t="inlineStr">
        <is>
          <t>5 ns</t>
        </is>
      </c>
      <c r="Y52" s="51" t="inlineStr">
        <is>
          <t>Quad-core x86</t>
        </is>
      </c>
      <c r="Z52" s="51" t="inlineStr">
        <is>
          <t>8 GB</t>
        </is>
      </c>
      <c r="AA52" s="51" t="inlineStr">
        <is>
          <t>64 GB SSD</t>
        </is>
      </c>
      <c r="AB52" s="51" t="inlineStr">
        <is>
          <t>FPGA DRAM 32 GB; packet-buffer function application dependent</t>
        </is>
      </c>
      <c r="AC52" s="51" t="inlineStr">
        <is>
          <t>Yes; 2 (1+1)</t>
        </is>
      </c>
      <c r="AD52" s="51" t="inlineStr">
        <is>
          <t>Yes; 2</t>
        </is>
      </c>
      <c r="AE52" s="51" t="inlineStr">
        <is>
          <t>Yes — reversible airflow</t>
        </is>
      </c>
    </row>
    <row r="53" ht="72" customHeight="1">
      <c r="A53" s="22" t="n">
        <v>48</v>
      </c>
      <c r="B53" s="18" t="inlineStr">
        <is>
          <t>DCS</t>
        </is>
      </c>
      <c r="C53" s="23" t="inlineStr">
        <is>
          <t>7130</t>
        </is>
      </c>
      <c r="D53" s="23" t="inlineStr">
        <is>
          <t>7130-48G3S</t>
        </is>
      </c>
      <c r="E53" s="23" t="inlineStr">
        <is>
          <t>DCS-7130-48G3S 계열</t>
        </is>
      </c>
      <c r="F53" s="23" t="inlineStr">
        <is>
          <t>초저지연 Layer 1/1+</t>
        </is>
      </c>
      <c r="G53" s="23" t="inlineStr">
        <is>
          <t>Layer 1 connectivity / trading</t>
        </is>
      </c>
      <c r="H53" s="22" t="inlineStr">
        <is>
          <t>-</t>
        </is>
      </c>
      <c r="I53" s="38" t="inlineStr">
        <is>
          <t>특화</t>
        </is>
      </c>
      <c r="J53" s="22" t="inlineStr">
        <is>
          <t>-</t>
        </is>
      </c>
      <c r="K53" s="23" t="inlineStr">
        <is>
          <t>48xSFP+</t>
        </is>
      </c>
      <c r="L53" s="23" t="inlineStr">
        <is>
          <t>960 Gbps</t>
        </is>
      </c>
      <c r="M53" s="23" t="inlineStr">
        <is>
          <t>5 ns</t>
        </is>
      </c>
      <c r="N53" s="23" t="inlineStr">
        <is>
          <t>1RU</t>
        </is>
      </c>
      <c r="O53" s="23" t="inlineStr">
        <is>
          <t>-</t>
        </is>
      </c>
      <c r="P53" s="23" t="inlineStr">
        <is>
          <t>-</t>
        </is>
      </c>
      <c r="Q53" s="23" t="inlineStr">
        <is>
          <t>현행 공식 플랫폼/데이터시트 등재</t>
        </is>
      </c>
      <c r="R53" s="24" t="inlineStr">
        <is>
          <t>https://www.arista.com/en/products/platforms</t>
        </is>
      </c>
      <c r="S53" s="24" t="inlineStr">
        <is>
          <t>https://www.arista.com/assets/data/pdf/Datasheets/7130-Connect-S-Series-Datasheet.pdf</t>
        </is>
      </c>
      <c r="T53" s="23" t="inlineStr"/>
      <c r="U53" s="53" t="inlineStr">
        <is>
          <t>48xSFP+</t>
        </is>
      </c>
      <c r="V53" s="53" t="inlineStr">
        <is>
          <t>960 Gbps; 100M–11.3 Gbps/lane</t>
        </is>
      </c>
      <c r="W53" s="52" t="inlineStr">
        <is>
          <t>N/A — L1 connect path does not packet-switch/queue</t>
        </is>
      </c>
      <c r="X53" s="53" t="inlineStr">
        <is>
          <t>4 ns</t>
        </is>
      </c>
      <c r="Y53" s="53" t="inlineStr">
        <is>
          <t>Quad-core x86</t>
        </is>
      </c>
      <c r="Z53" s="53" t="inlineStr">
        <is>
          <t>8 GB</t>
        </is>
      </c>
      <c r="AA53" s="53" t="inlineStr">
        <is>
          <t>64 GB SSD</t>
        </is>
      </c>
      <c r="AB53" s="53" t="inlineStr">
        <is>
          <t>None — no buffering/queuing on L1 connect path</t>
        </is>
      </c>
      <c r="AC53" s="53" t="inlineStr">
        <is>
          <t>Yes; 2 (1+1)</t>
        </is>
      </c>
      <c r="AD53" s="53" t="inlineStr">
        <is>
          <t>Yes; 2 fan trays (1+1)</t>
        </is>
      </c>
      <c r="AE53" s="53" t="inlineStr">
        <is>
          <t>Yes — reversible airflow</t>
        </is>
      </c>
    </row>
    <row r="54" ht="72" customHeight="1">
      <c r="A54" s="25" t="n">
        <v>49</v>
      </c>
      <c r="B54" s="26" t="inlineStr">
        <is>
          <t>DCS</t>
        </is>
      </c>
      <c r="C54" s="27" t="inlineStr">
        <is>
          <t>7060XE7</t>
        </is>
      </c>
      <c r="D54" s="27" t="inlineStr">
        <is>
          <t>7060XE7-128PE</t>
        </is>
      </c>
      <c r="E54" s="27" t="inlineStr">
        <is>
          <t>DCS-7060XE7-128PE 계열</t>
        </is>
      </c>
      <c r="F54" s="27" t="inlineStr">
        <is>
          <t>공랭 고정형</t>
        </is>
      </c>
      <c r="G54" s="27" t="inlineStr">
        <is>
          <t>AI rack-scale / hyperscale fabric</t>
        </is>
      </c>
      <c r="H54" s="29" t="inlineStr">
        <is>
          <t>주력</t>
        </is>
      </c>
      <c r="I54" s="28" t="inlineStr">
        <is>
          <t>적합</t>
        </is>
      </c>
      <c r="J54" s="25" t="inlineStr">
        <is>
          <t>-</t>
        </is>
      </c>
      <c r="K54" s="27" t="inlineStr">
        <is>
          <t>128x800G OSFP-IHS</t>
        </is>
      </c>
      <c r="L54" s="27" t="inlineStr">
        <is>
          <t>102.4 Tbps (204.8 Tbps FDX)</t>
        </is>
      </c>
      <c r="M54" s="27" t="inlineStr">
        <is>
          <t>840 ns</t>
        </is>
      </c>
      <c r="N54" s="27" t="inlineStr">
        <is>
          <t>4RU</t>
        </is>
      </c>
      <c r="O54" s="27" t="inlineStr">
        <is>
          <t>-</t>
        </is>
      </c>
      <c r="P54" s="27" t="inlineStr">
        <is>
          <t>데이터시트 참조</t>
        </is>
      </c>
      <c r="Q54" s="27" t="inlineStr">
        <is>
          <t>현행 공식 플랫폼/데이터시트 등재</t>
        </is>
      </c>
      <c r="R54" s="30" t="inlineStr">
        <is>
          <t>https://www.arista.com/en/products/platforms</t>
        </is>
      </c>
      <c r="S54" s="30" t="inlineStr">
        <is>
          <t>https://www.arista.com/assets/data/pdf/Datasheets/7060XE7-Datasheet.pdf</t>
        </is>
      </c>
      <c r="T54" s="27" t="inlineStr"/>
      <c r="U54" s="54" t="inlineStr">
        <is>
          <t>128x800G OSFP-IHS + 1x100G QSFP28</t>
        </is>
      </c>
      <c r="V54" s="54" t="inlineStr">
        <is>
          <t>102.4 (204.8) Tbps</t>
        </is>
      </c>
      <c r="W54" s="56" t="inlineStr">
        <is>
          <t>미기재(공식 데이터시트)</t>
        </is>
      </c>
      <c r="X54" s="56" t="inlineStr">
        <is>
          <t>840 ns (product overview; specifications table not stated)</t>
        </is>
      </c>
      <c r="Y54" s="56" t="inlineStr">
        <is>
          <t>미기재(공식 데이터시트)</t>
        </is>
      </c>
      <c r="Z54" s="54" t="inlineStr">
        <is>
          <t>32 GB</t>
        </is>
      </c>
      <c r="AA54" s="54" t="inlineStr">
        <is>
          <t>480 GB SSD</t>
        </is>
      </c>
      <c r="AB54" s="54" t="inlineStr">
        <is>
          <t>267 MB</t>
        </is>
      </c>
      <c r="AC54" s="54" t="inlineStr">
        <is>
          <t>Yes; 4 hot-swappable PSUs</t>
        </is>
      </c>
      <c r="AD54" s="54" t="inlineStr">
        <is>
          <t>Yes; 8 dual-rotor fan modules</t>
        </is>
      </c>
      <c r="AE54" s="54" t="inlineStr">
        <is>
          <t>No — front-to-rear only</t>
        </is>
      </c>
    </row>
    <row r="55" ht="72" customHeight="1">
      <c r="A55" s="22" t="n">
        <v>50</v>
      </c>
      <c r="B55" s="18" t="inlineStr">
        <is>
          <t>DCS</t>
        </is>
      </c>
      <c r="C55" s="23" t="inlineStr">
        <is>
          <t>7060XE7</t>
        </is>
      </c>
      <c r="D55" s="23" t="inlineStr">
        <is>
          <t>7060XE7-64PRS-RV3-L</t>
        </is>
      </c>
      <c r="E55" s="23" t="inlineStr">
        <is>
          <t>DCS-7060XE7-64PRS-RV3-L 계열</t>
        </is>
      </c>
      <c r="F55" s="23" t="inlineStr">
        <is>
          <t>액랭 integrated-rack</t>
        </is>
      </c>
      <c r="G55" s="23" t="inlineStr">
        <is>
          <t>AI rack-scale / hyperscale fabric</t>
        </is>
      </c>
      <c r="H55" s="20" t="inlineStr">
        <is>
          <t>주력</t>
        </is>
      </c>
      <c r="I55" s="31" t="inlineStr">
        <is>
          <t>적합</t>
        </is>
      </c>
      <c r="J55" s="22" t="inlineStr">
        <is>
          <t>-</t>
        </is>
      </c>
      <c r="K55" s="23" t="inlineStr">
        <is>
          <t>64x1.6T OSFP-RHS</t>
        </is>
      </c>
      <c r="L55" s="23" t="inlineStr">
        <is>
          <t>102.4 Tbps (204.8 Tbps FDX)</t>
        </is>
      </c>
      <c r="M55" s="23" t="inlineStr">
        <is>
          <t>840 ns</t>
        </is>
      </c>
      <c r="N55" s="23" t="inlineStr">
        <is>
          <t>2OU</t>
        </is>
      </c>
      <c r="O55" s="23" t="inlineStr">
        <is>
          <t>-</t>
        </is>
      </c>
      <c r="P55" s="23" t="inlineStr">
        <is>
          <t>데이터시트 참조</t>
        </is>
      </c>
      <c r="Q55" s="23" t="inlineStr">
        <is>
          <t>현행 공식 플랫폼/데이터시트 등재</t>
        </is>
      </c>
      <c r="R55" s="24" t="inlineStr">
        <is>
          <t>https://www.arista.com/en/products/platforms</t>
        </is>
      </c>
      <c r="S55" s="24" t="inlineStr">
        <is>
          <t>https://www.arista.com/assets/data/pdf/Datasheets/7060XE7-Datasheet.pdf</t>
        </is>
      </c>
      <c r="T55" s="23" t="inlineStr"/>
      <c r="U55" s="53" t="inlineStr">
        <is>
          <t>64x1.6T OSFP-RHS + 1x100G QSFP28</t>
        </is>
      </c>
      <c r="V55" s="53" t="inlineStr">
        <is>
          <t>102.4 (204.8) Tbps</t>
        </is>
      </c>
      <c r="W55" s="52" t="inlineStr">
        <is>
          <t>미기재(공식 데이터시트)</t>
        </is>
      </c>
      <c r="X55" s="52" t="inlineStr">
        <is>
          <t>840 ns (product overview; specifications table not stated)</t>
        </is>
      </c>
      <c r="Y55" s="52" t="inlineStr">
        <is>
          <t>미기재(공식 데이터시트)</t>
        </is>
      </c>
      <c r="Z55" s="53" t="inlineStr">
        <is>
          <t>32 GB</t>
        </is>
      </c>
      <c r="AA55" s="53" t="inlineStr">
        <is>
          <t>480 GB SSD</t>
        </is>
      </c>
      <c r="AB55" s="53" t="inlineStr">
        <is>
          <t>267 MB</t>
        </is>
      </c>
      <c r="AC55" s="52" t="inlineStr">
        <is>
          <t>ORv3 rack-integrated liquid-cooled power; count not stated</t>
        </is>
      </c>
      <c r="AD55" s="52" t="inlineStr">
        <is>
          <t>N/A — liquid-cooled model</t>
        </is>
      </c>
      <c r="AE55" s="52" t="inlineStr">
        <is>
          <t>N/A — liquid-cooled model</t>
        </is>
      </c>
    </row>
    <row r="56" ht="72" customHeight="1">
      <c r="A56" s="17" t="n">
        <v>51</v>
      </c>
      <c r="B56" s="18" t="inlineStr">
        <is>
          <t>DCS</t>
        </is>
      </c>
      <c r="C56" s="19" t="inlineStr">
        <is>
          <t>7060XE7</t>
        </is>
      </c>
      <c r="D56" s="19" t="inlineStr">
        <is>
          <t>7060XE7-64PRS</t>
        </is>
      </c>
      <c r="E56" s="19" t="inlineStr">
        <is>
          <t>DCS-7060XE7-64PRS 계열</t>
        </is>
      </c>
      <c r="F56" s="19" t="inlineStr">
        <is>
          <t>공랭 고정형</t>
        </is>
      </c>
      <c r="G56" s="19" t="inlineStr">
        <is>
          <t>AI rack-scale / hyperscale fabric</t>
        </is>
      </c>
      <c r="H56" s="20" t="inlineStr">
        <is>
          <t>주력</t>
        </is>
      </c>
      <c r="I56" s="31" t="inlineStr">
        <is>
          <t>적합</t>
        </is>
      </c>
      <c r="J56" s="17" t="inlineStr">
        <is>
          <t>-</t>
        </is>
      </c>
      <c r="K56" s="19" t="inlineStr">
        <is>
          <t>64x1.6T OSFP-RHS</t>
        </is>
      </c>
      <c r="L56" s="19" t="inlineStr">
        <is>
          <t>102.4 Tbps (204.8 Tbps FDX)</t>
        </is>
      </c>
      <c r="M56" s="19" t="inlineStr">
        <is>
          <t>840 ns</t>
        </is>
      </c>
      <c r="N56" s="19" t="inlineStr">
        <is>
          <t>4RU</t>
        </is>
      </c>
      <c r="O56" s="19" t="inlineStr">
        <is>
          <t>-</t>
        </is>
      </c>
      <c r="P56" s="19" t="inlineStr">
        <is>
          <t>데이터시트 참조</t>
        </is>
      </c>
      <c r="Q56" s="19" t="inlineStr">
        <is>
          <t>현행 공식 플랫폼/데이터시트 등재</t>
        </is>
      </c>
      <c r="R56" s="21" t="inlineStr">
        <is>
          <t>https://www.arista.com/en/products/platforms</t>
        </is>
      </c>
      <c r="S56" s="21" t="inlineStr">
        <is>
          <t>https://www.arista.com/assets/data/pdf/Datasheets/7060XE7-Datasheet.pdf</t>
        </is>
      </c>
      <c r="T56" s="19" t="inlineStr"/>
      <c r="U56" s="51" t="inlineStr">
        <is>
          <t>64x1.6T OSFP-RHS + 1x100G QSFP28</t>
        </is>
      </c>
      <c r="V56" s="51" t="inlineStr">
        <is>
          <t>102.4 (204.8) Tbps</t>
        </is>
      </c>
      <c r="W56" s="52" t="inlineStr">
        <is>
          <t>미기재(공식 데이터시트)</t>
        </is>
      </c>
      <c r="X56" s="52" t="inlineStr">
        <is>
          <t>840 ns (product overview; specifications table not stated)</t>
        </is>
      </c>
      <c r="Y56" s="52" t="inlineStr">
        <is>
          <t>미기재(공식 데이터시트)</t>
        </is>
      </c>
      <c r="Z56" s="51" t="inlineStr">
        <is>
          <t>32 GB</t>
        </is>
      </c>
      <c r="AA56" s="51" t="inlineStr">
        <is>
          <t>480 GB SSD</t>
        </is>
      </c>
      <c r="AB56" s="51" t="inlineStr">
        <is>
          <t>267 MB</t>
        </is>
      </c>
      <c r="AC56" s="51" t="inlineStr">
        <is>
          <t>Yes; 4 hot-swappable PSUs</t>
        </is>
      </c>
      <c r="AD56" s="51" t="inlineStr">
        <is>
          <t>Yes; 8 dual-rotor fan modules</t>
        </is>
      </c>
      <c r="AE56" s="51" t="inlineStr">
        <is>
          <t>No — front-to-rear only</t>
        </is>
      </c>
    </row>
    <row r="57" ht="72" customHeight="1">
      <c r="A57" s="22" t="n">
        <v>52</v>
      </c>
      <c r="B57" s="18" t="inlineStr">
        <is>
          <t>DCS</t>
        </is>
      </c>
      <c r="C57" s="23" t="inlineStr">
        <is>
          <t>7060XE7</t>
        </is>
      </c>
      <c r="D57" s="23" t="inlineStr">
        <is>
          <t>7060XE7-64PS</t>
        </is>
      </c>
      <c r="E57" s="23" t="inlineStr">
        <is>
          <t>DCS-7060XE7-64PS 계열</t>
        </is>
      </c>
      <c r="F57" s="23" t="inlineStr">
        <is>
          <t>공랭 고정형</t>
        </is>
      </c>
      <c r="G57" s="23" t="inlineStr">
        <is>
          <t>AI rack-scale / hyperscale fabric</t>
        </is>
      </c>
      <c r="H57" s="20" t="inlineStr">
        <is>
          <t>주력</t>
        </is>
      </c>
      <c r="I57" s="31" t="inlineStr">
        <is>
          <t>적합</t>
        </is>
      </c>
      <c r="J57" s="22" t="inlineStr">
        <is>
          <t>-</t>
        </is>
      </c>
      <c r="K57" s="23" t="inlineStr">
        <is>
          <t>64x1.6T OSFP-IHS</t>
        </is>
      </c>
      <c r="L57" s="23" t="inlineStr">
        <is>
          <t>102.4 Tbps (204.8 Tbps FDX)</t>
        </is>
      </c>
      <c r="M57" s="23" t="inlineStr">
        <is>
          <t>840 ns</t>
        </is>
      </c>
      <c r="N57" s="23" t="inlineStr">
        <is>
          <t>4RU</t>
        </is>
      </c>
      <c r="O57" s="23" t="inlineStr">
        <is>
          <t>-</t>
        </is>
      </c>
      <c r="P57" s="23" t="inlineStr">
        <is>
          <t>데이터시트 참조</t>
        </is>
      </c>
      <c r="Q57" s="23" t="inlineStr">
        <is>
          <t>현행 공식 플랫폼/데이터시트 등재</t>
        </is>
      </c>
      <c r="R57" s="24" t="inlineStr">
        <is>
          <t>https://www.arista.com/en/products/platforms</t>
        </is>
      </c>
      <c r="S57" s="24" t="inlineStr">
        <is>
          <t>https://www.arista.com/assets/data/pdf/Datasheets/7060XE7-Datasheet.pdf</t>
        </is>
      </c>
      <c r="T57" s="23" t="inlineStr"/>
      <c r="U57" s="53" t="inlineStr">
        <is>
          <t>64x1.6T OSFP-IHS + 1x100G QSFP28</t>
        </is>
      </c>
      <c r="V57" s="53" t="inlineStr">
        <is>
          <t>102.4 (204.8) Tbps</t>
        </is>
      </c>
      <c r="W57" s="52" t="inlineStr">
        <is>
          <t>미기재(공식 데이터시트)</t>
        </is>
      </c>
      <c r="X57" s="52" t="inlineStr">
        <is>
          <t>840 ns (product overview; specifications table not stated)</t>
        </is>
      </c>
      <c r="Y57" s="52" t="inlineStr">
        <is>
          <t>미기재(공식 데이터시트)</t>
        </is>
      </c>
      <c r="Z57" s="53" t="inlineStr">
        <is>
          <t>32 GB</t>
        </is>
      </c>
      <c r="AA57" s="53" t="inlineStr">
        <is>
          <t>480 GB SSD</t>
        </is>
      </c>
      <c r="AB57" s="53" t="inlineStr">
        <is>
          <t>267 MB</t>
        </is>
      </c>
      <c r="AC57" s="53" t="inlineStr">
        <is>
          <t>Yes; 4 hot-swappable PSUs</t>
        </is>
      </c>
      <c r="AD57" s="53" t="inlineStr">
        <is>
          <t>Yes; 8 dual-rotor fan modules</t>
        </is>
      </c>
      <c r="AE57" s="53" t="inlineStr">
        <is>
          <t>No — front-to-rear only</t>
        </is>
      </c>
    </row>
    <row r="58" ht="72" customHeight="1">
      <c r="A58" s="25" t="n">
        <v>53</v>
      </c>
      <c r="B58" s="26" t="inlineStr">
        <is>
          <t>DCS</t>
        </is>
      </c>
      <c r="C58" s="27" t="inlineStr">
        <is>
          <t>7060X6</t>
        </is>
      </c>
      <c r="D58" s="27" t="inlineStr">
        <is>
          <t>7060X6-64PE</t>
        </is>
      </c>
      <c r="E58" s="27" t="inlineStr">
        <is>
          <t>DCS-7060X6-64PE 계열</t>
        </is>
      </c>
      <c r="F58" s="27" t="inlineStr">
        <is>
          <t>고정형</t>
        </is>
      </c>
      <c r="G58" s="27" t="inlineStr">
        <is>
          <t>AI/Hyperscale leaf-spine</t>
        </is>
      </c>
      <c r="H58" s="29" t="inlineStr">
        <is>
          <t>주력</t>
        </is>
      </c>
      <c r="I58" s="28" t="inlineStr">
        <is>
          <t>적합</t>
        </is>
      </c>
      <c r="J58" s="25" t="inlineStr">
        <is>
          <t>-</t>
        </is>
      </c>
      <c r="K58" s="27" t="inlineStr">
        <is>
          <t>64x800G OSFP800</t>
        </is>
      </c>
      <c r="L58" s="27" t="inlineStr">
        <is>
          <t>51.2 Tbps</t>
        </is>
      </c>
      <c r="M58" s="27" t="inlineStr">
        <is>
          <t>700 ns</t>
        </is>
      </c>
      <c r="N58" s="27" t="inlineStr">
        <is>
          <t>2RU</t>
        </is>
      </c>
      <c r="O58" s="27" t="inlineStr">
        <is>
          <t>-</t>
        </is>
      </c>
      <c r="P58" s="27" t="inlineStr">
        <is>
          <t>데이터시트 참조</t>
        </is>
      </c>
      <c r="Q58" s="27" t="inlineStr">
        <is>
          <t>현행 공식 플랫폼/데이터시트 등재</t>
        </is>
      </c>
      <c r="R58" s="30" t="inlineStr">
        <is>
          <t>https://www.arista.com/en/products/platforms</t>
        </is>
      </c>
      <c r="S58" s="30" t="inlineStr">
        <is>
          <t>https://www.arista.com/assets/data/pdf/Datasheets/7060X6-Datasheet.pdf</t>
        </is>
      </c>
      <c r="T58" s="27" t="inlineStr"/>
      <c r="U58" s="54" t="inlineStr">
        <is>
          <t>64x800G OSFP + 2xSFP+</t>
        </is>
      </c>
      <c r="V58" s="54" t="inlineStr">
        <is>
          <t>51.2 (102.4) Tbps</t>
        </is>
      </c>
      <c r="W58" s="54" t="inlineStr">
        <is>
          <t>21.2 Bpps</t>
        </is>
      </c>
      <c r="X58" s="54" t="inlineStr">
        <is>
          <t>700 ns</t>
        </is>
      </c>
      <c r="Y58" s="54" t="inlineStr">
        <is>
          <t>Multi-core x86</t>
        </is>
      </c>
      <c r="Z58" s="54" t="inlineStr">
        <is>
          <t>32 GB</t>
        </is>
      </c>
      <c r="AA58" s="54" t="inlineStr">
        <is>
          <t>240 GB SSD</t>
        </is>
      </c>
      <c r="AB58" s="54" t="inlineStr">
        <is>
          <t>165 MB</t>
        </is>
      </c>
      <c r="AC58" s="54" t="inlineStr">
        <is>
          <t>Yes; 2 (1+1)</t>
        </is>
      </c>
      <c r="AD58" s="54" t="inlineStr">
        <is>
          <t>Yes; 4 (N+1)</t>
        </is>
      </c>
      <c r="AE58" s="54" t="inlineStr">
        <is>
          <t>No — front-to-rear only</t>
        </is>
      </c>
    </row>
    <row r="59" ht="72" customHeight="1">
      <c r="A59" s="22" t="n">
        <v>54</v>
      </c>
      <c r="B59" s="18" t="inlineStr">
        <is>
          <t>DCS</t>
        </is>
      </c>
      <c r="C59" s="23" t="inlineStr">
        <is>
          <t>7060X6</t>
        </is>
      </c>
      <c r="D59" s="23" t="inlineStr">
        <is>
          <t>7060X6-32PE</t>
        </is>
      </c>
      <c r="E59" s="23" t="inlineStr">
        <is>
          <t>DCS-7060X6-32PE 계열</t>
        </is>
      </c>
      <c r="F59" s="23" t="inlineStr">
        <is>
          <t>고정형</t>
        </is>
      </c>
      <c r="G59" s="23" t="inlineStr">
        <is>
          <t>AI/Hyperscale leaf-spine</t>
        </is>
      </c>
      <c r="H59" s="20" t="inlineStr">
        <is>
          <t>주력</t>
        </is>
      </c>
      <c r="I59" s="31" t="inlineStr">
        <is>
          <t>적합</t>
        </is>
      </c>
      <c r="J59" s="22" t="inlineStr">
        <is>
          <t>-</t>
        </is>
      </c>
      <c r="K59" s="23" t="inlineStr">
        <is>
          <t>32x800G OSFP800</t>
        </is>
      </c>
      <c r="L59" s="23" t="inlineStr">
        <is>
          <t>25.6 Tbps</t>
        </is>
      </c>
      <c r="M59" s="23" t="inlineStr">
        <is>
          <t>700 ns</t>
        </is>
      </c>
      <c r="N59" s="23" t="inlineStr">
        <is>
          <t>1RU</t>
        </is>
      </c>
      <c r="O59" s="23" t="inlineStr">
        <is>
          <t>-</t>
        </is>
      </c>
      <c r="P59" s="23" t="inlineStr">
        <is>
          <t>데이터시트 참조</t>
        </is>
      </c>
      <c r="Q59" s="23" t="inlineStr">
        <is>
          <t>현행 공식 플랫폼/데이터시트 등재</t>
        </is>
      </c>
      <c r="R59" s="24" t="inlineStr">
        <is>
          <t>https://www.arista.com/en/products/platforms</t>
        </is>
      </c>
      <c r="S59" s="24" t="inlineStr">
        <is>
          <t>https://www.arista.com/assets/data/pdf/Datasheets/7060X6-Datasheet.pdf</t>
        </is>
      </c>
      <c r="T59" s="23" t="inlineStr"/>
      <c r="U59" s="53" t="inlineStr">
        <is>
          <t>32x800G OSFP + 2xSFP+</t>
        </is>
      </c>
      <c r="V59" s="53" t="inlineStr">
        <is>
          <t>25.6 (51.2) Tbps</t>
        </is>
      </c>
      <c r="W59" s="53" t="inlineStr">
        <is>
          <t>10.6 Bpps</t>
        </is>
      </c>
      <c r="X59" s="53" t="inlineStr">
        <is>
          <t>700 ns</t>
        </is>
      </c>
      <c r="Y59" s="53" t="inlineStr">
        <is>
          <t>Multi-core x86</t>
        </is>
      </c>
      <c r="Z59" s="53" t="inlineStr">
        <is>
          <t>32 GB</t>
        </is>
      </c>
      <c r="AA59" s="53" t="inlineStr">
        <is>
          <t>240 GB SSD</t>
        </is>
      </c>
      <c r="AB59" s="53" t="inlineStr">
        <is>
          <t>84 MB</t>
        </is>
      </c>
      <c r="AC59" s="53" t="inlineStr">
        <is>
          <t>Yes; 2 (1+1)</t>
        </is>
      </c>
      <c r="AD59" s="53" t="inlineStr">
        <is>
          <t>Yes; 3 (N+1)</t>
        </is>
      </c>
      <c r="AE59" s="53" t="inlineStr">
        <is>
          <t>No — front-to-rear only</t>
        </is>
      </c>
    </row>
    <row r="60" ht="72" customHeight="1">
      <c r="A60" s="25" t="n">
        <v>55</v>
      </c>
      <c r="B60" s="26" t="inlineStr">
        <is>
          <t>DCS</t>
        </is>
      </c>
      <c r="C60" s="27" t="inlineStr">
        <is>
          <t>7060X5</t>
        </is>
      </c>
      <c r="D60" s="27" t="inlineStr">
        <is>
          <t>7060PX5-64E</t>
        </is>
      </c>
      <c r="E60" s="27" t="inlineStr">
        <is>
          <t>DCS-7060PX5-64E 계열</t>
        </is>
      </c>
      <c r="F60" s="27" t="inlineStr">
        <is>
          <t>고정형</t>
        </is>
      </c>
      <c r="G60" s="27" t="inlineStr">
        <is>
          <t>400/800G AI 및 cloud DC fabric</t>
        </is>
      </c>
      <c r="H60" s="28" t="inlineStr">
        <is>
          <t>적합</t>
        </is>
      </c>
      <c r="I60" s="29" t="inlineStr">
        <is>
          <t>주력</t>
        </is>
      </c>
      <c r="J60" s="25" t="inlineStr">
        <is>
          <t>-</t>
        </is>
      </c>
      <c r="K60" s="27" t="inlineStr">
        <is>
          <t>32x800G(2x400G) OSFP800</t>
        </is>
      </c>
      <c r="L60" s="27" t="inlineStr">
        <is>
          <t>25.6 Tbps</t>
        </is>
      </c>
      <c r="M60" s="27" t="inlineStr">
        <is>
          <t>825 ns</t>
        </is>
      </c>
      <c r="N60" s="27" t="inlineStr">
        <is>
          <t>1RU</t>
        </is>
      </c>
      <c r="O60" s="27" t="inlineStr">
        <is>
          <t>-</t>
        </is>
      </c>
      <c r="P60" s="27" t="inlineStr">
        <is>
          <t>데이터시트 참조</t>
        </is>
      </c>
      <c r="Q60" s="27" t="inlineStr">
        <is>
          <t>현행 공식 플랫폼/데이터시트 등재</t>
        </is>
      </c>
      <c r="R60" s="30" t="inlineStr">
        <is>
          <t>https://www.arista.com/en/products/platforms</t>
        </is>
      </c>
      <c r="S60" s="30" t="inlineStr">
        <is>
          <t>https://www.arista.com/assets/data/pdf/Datasheets/7060X5-Datasheet.pdf</t>
        </is>
      </c>
      <c r="T60" s="27" t="inlineStr"/>
      <c r="U60" s="54" t="inlineStr">
        <is>
          <t>32x800G OSFP + 2xSFP+</t>
        </is>
      </c>
      <c r="V60" s="54" t="inlineStr">
        <is>
          <t>25.6 (51.2) Tbps</t>
        </is>
      </c>
      <c r="W60" s="54" t="inlineStr">
        <is>
          <t>10.6 Bpps</t>
        </is>
      </c>
      <c r="X60" s="54" t="inlineStr">
        <is>
          <t>825 ns</t>
        </is>
      </c>
      <c r="Y60" s="54" t="inlineStr">
        <is>
          <t>Multi-core x86</t>
        </is>
      </c>
      <c r="Z60" s="54" t="inlineStr">
        <is>
          <t>64 GB</t>
        </is>
      </c>
      <c r="AA60" s="54" t="inlineStr">
        <is>
          <t>120 GB SSD</t>
        </is>
      </c>
      <c r="AB60" s="54" t="inlineStr">
        <is>
          <t>114 MB</t>
        </is>
      </c>
      <c r="AC60" s="54" t="inlineStr">
        <is>
          <t>Yes; 2 (1+1)</t>
        </is>
      </c>
      <c r="AD60" s="54" t="inlineStr">
        <is>
          <t>Yes; 3 (N+1)</t>
        </is>
      </c>
      <c r="AE60" s="54" t="inlineStr">
        <is>
          <t>No — front-to-rear only</t>
        </is>
      </c>
    </row>
    <row r="61" ht="72" customHeight="1">
      <c r="A61" s="22" t="n">
        <v>56</v>
      </c>
      <c r="B61" s="18" t="inlineStr">
        <is>
          <t>DCS</t>
        </is>
      </c>
      <c r="C61" s="23" t="inlineStr">
        <is>
          <t>7060X5</t>
        </is>
      </c>
      <c r="D61" s="23" t="inlineStr">
        <is>
          <t>7060DX5-64E</t>
        </is>
      </c>
      <c r="E61" s="23" t="inlineStr">
        <is>
          <t>DCS-7060DX5-64E 계열</t>
        </is>
      </c>
      <c r="F61" s="23" t="inlineStr">
        <is>
          <t>고정형</t>
        </is>
      </c>
      <c r="G61" s="23" t="inlineStr">
        <is>
          <t>400/800G AI 및 cloud DC fabric</t>
        </is>
      </c>
      <c r="H61" s="31" t="inlineStr">
        <is>
          <t>적합</t>
        </is>
      </c>
      <c r="I61" s="20" t="inlineStr">
        <is>
          <t>주력</t>
        </is>
      </c>
      <c r="J61" s="22" t="inlineStr">
        <is>
          <t>-</t>
        </is>
      </c>
      <c r="K61" s="23" t="inlineStr">
        <is>
          <t>32x800G(2x400G) QSFP-DD800</t>
        </is>
      </c>
      <c r="L61" s="23" t="inlineStr">
        <is>
          <t>25.6 Tbps</t>
        </is>
      </c>
      <c r="M61" s="23" t="inlineStr">
        <is>
          <t>825 ns</t>
        </is>
      </c>
      <c r="N61" s="23" t="inlineStr">
        <is>
          <t>1RU</t>
        </is>
      </c>
      <c r="O61" s="23" t="inlineStr">
        <is>
          <t>-</t>
        </is>
      </c>
      <c r="P61" s="23" t="inlineStr">
        <is>
          <t>데이터시트 참조</t>
        </is>
      </c>
      <c r="Q61" s="23" t="inlineStr">
        <is>
          <t>현행 공식 플랫폼/데이터시트 등재</t>
        </is>
      </c>
      <c r="R61" s="24" t="inlineStr">
        <is>
          <t>https://www.arista.com/en/products/platforms</t>
        </is>
      </c>
      <c r="S61" s="24" t="inlineStr">
        <is>
          <t>https://www.arista.com/assets/data/pdf/Datasheets/7060X5-Datasheet.pdf</t>
        </is>
      </c>
      <c r="T61" s="23" t="inlineStr"/>
      <c r="U61" s="53" t="inlineStr">
        <is>
          <t>32x800G QSFP-DD + 2xSFP+</t>
        </is>
      </c>
      <c r="V61" s="53" t="inlineStr">
        <is>
          <t>25.6 (51.2) Tbps</t>
        </is>
      </c>
      <c r="W61" s="53" t="inlineStr">
        <is>
          <t>10.6 Bpps</t>
        </is>
      </c>
      <c r="X61" s="53" t="inlineStr">
        <is>
          <t>825 ns</t>
        </is>
      </c>
      <c r="Y61" s="53" t="inlineStr">
        <is>
          <t>Multi-core x86</t>
        </is>
      </c>
      <c r="Z61" s="53" t="inlineStr">
        <is>
          <t>64 GB</t>
        </is>
      </c>
      <c r="AA61" s="53" t="inlineStr">
        <is>
          <t>120 GB SSD</t>
        </is>
      </c>
      <c r="AB61" s="53" t="inlineStr">
        <is>
          <t>114 MB</t>
        </is>
      </c>
      <c r="AC61" s="53" t="inlineStr">
        <is>
          <t>Yes; 2 (1+1)</t>
        </is>
      </c>
      <c r="AD61" s="53" t="inlineStr">
        <is>
          <t>Yes; 3 (N+1)</t>
        </is>
      </c>
      <c r="AE61" s="53" t="inlineStr">
        <is>
          <t>No — front-to-rear only</t>
        </is>
      </c>
    </row>
    <row r="62" ht="72" customHeight="1">
      <c r="A62" s="17" t="n">
        <v>57</v>
      </c>
      <c r="B62" s="18" t="inlineStr">
        <is>
          <t>DCS</t>
        </is>
      </c>
      <c r="C62" s="19" t="inlineStr">
        <is>
          <t>7060X5</t>
        </is>
      </c>
      <c r="D62" s="19" t="inlineStr">
        <is>
          <t>7060DX5-64S</t>
        </is>
      </c>
      <c r="E62" s="19" t="inlineStr">
        <is>
          <t>DCS-7060DX5-64S 계열</t>
        </is>
      </c>
      <c r="F62" s="19" t="inlineStr">
        <is>
          <t>고정형</t>
        </is>
      </c>
      <c r="G62" s="19" t="inlineStr">
        <is>
          <t>400/800G AI 및 cloud DC fabric</t>
        </is>
      </c>
      <c r="H62" s="31" t="inlineStr">
        <is>
          <t>적합</t>
        </is>
      </c>
      <c r="I62" s="20" t="inlineStr">
        <is>
          <t>주력</t>
        </is>
      </c>
      <c r="J62" s="17" t="inlineStr">
        <is>
          <t>-</t>
        </is>
      </c>
      <c r="K62" s="19" t="inlineStr">
        <is>
          <t>64x400G QSFP-DD</t>
        </is>
      </c>
      <c r="L62" s="19" t="inlineStr">
        <is>
          <t>25.6 Tbps</t>
        </is>
      </c>
      <c r="M62" s="19" t="inlineStr">
        <is>
          <t>825 ns</t>
        </is>
      </c>
      <c r="N62" s="19" t="inlineStr">
        <is>
          <t>2RU</t>
        </is>
      </c>
      <c r="O62" s="19" t="inlineStr">
        <is>
          <t>-</t>
        </is>
      </c>
      <c r="P62" s="19" t="inlineStr">
        <is>
          <t>데이터시트 참조</t>
        </is>
      </c>
      <c r="Q62" s="19" t="inlineStr">
        <is>
          <t>현행 공식 플랫폼/데이터시트 등재</t>
        </is>
      </c>
      <c r="R62" s="21" t="inlineStr">
        <is>
          <t>https://www.arista.com/en/products/platforms</t>
        </is>
      </c>
      <c r="S62" s="21" t="inlineStr">
        <is>
          <t>https://www.arista.com/assets/data/pdf/Datasheets/7060X5-Datasheet.pdf</t>
        </is>
      </c>
      <c r="T62" s="19" t="inlineStr"/>
      <c r="U62" s="51" t="inlineStr">
        <is>
          <t>64x400G QSFP-DD + 2xSFP+</t>
        </is>
      </c>
      <c r="V62" s="51" t="inlineStr">
        <is>
          <t>25.6 (51.2) Tbps</t>
        </is>
      </c>
      <c r="W62" s="51" t="inlineStr">
        <is>
          <t>10.6 Bpps</t>
        </is>
      </c>
      <c r="X62" s="51" t="inlineStr">
        <is>
          <t>825 ns</t>
        </is>
      </c>
      <c r="Y62" s="51" t="inlineStr">
        <is>
          <t>Multi-core x86</t>
        </is>
      </c>
      <c r="Z62" s="51" t="inlineStr">
        <is>
          <t>64 GB</t>
        </is>
      </c>
      <c r="AA62" s="51" t="inlineStr">
        <is>
          <t>120 GB SSD</t>
        </is>
      </c>
      <c r="AB62" s="51" t="inlineStr">
        <is>
          <t>114 MB</t>
        </is>
      </c>
      <c r="AC62" s="51" t="inlineStr">
        <is>
          <t>Yes; 2 (1+1)</t>
        </is>
      </c>
      <c r="AD62" s="51" t="inlineStr">
        <is>
          <t>Yes; 4 (N+1)</t>
        </is>
      </c>
      <c r="AE62" s="51" t="inlineStr">
        <is>
          <t>Conditional — rear-to-front supported with DAC/AOC restrictions</t>
        </is>
      </c>
    </row>
    <row r="63" ht="72" customHeight="1">
      <c r="A63" s="22" t="n">
        <v>58</v>
      </c>
      <c r="B63" s="18" t="inlineStr">
        <is>
          <t>DCS</t>
        </is>
      </c>
      <c r="C63" s="23" t="inlineStr">
        <is>
          <t>7060X5</t>
        </is>
      </c>
      <c r="D63" s="23" t="inlineStr">
        <is>
          <t>7060DX5-32</t>
        </is>
      </c>
      <c r="E63" s="23" t="inlineStr">
        <is>
          <t>DCS-7060DX5-32 계열</t>
        </is>
      </c>
      <c r="F63" s="23" t="inlineStr">
        <is>
          <t>고정형</t>
        </is>
      </c>
      <c r="G63" s="23" t="inlineStr">
        <is>
          <t>400/800G AI 및 cloud DC fabric</t>
        </is>
      </c>
      <c r="H63" s="31" t="inlineStr">
        <is>
          <t>적합</t>
        </is>
      </c>
      <c r="I63" s="20" t="inlineStr">
        <is>
          <t>주력</t>
        </is>
      </c>
      <c r="J63" s="22" t="inlineStr">
        <is>
          <t>-</t>
        </is>
      </c>
      <c r="K63" s="23" t="inlineStr">
        <is>
          <t>32x400G QSFP-DD</t>
        </is>
      </c>
      <c r="L63" s="23" t="inlineStr">
        <is>
          <t>12.8 Tbps</t>
        </is>
      </c>
      <c r="M63" s="23" t="inlineStr">
        <is>
          <t>825 ns</t>
        </is>
      </c>
      <c r="N63" s="23" t="inlineStr">
        <is>
          <t>1RU</t>
        </is>
      </c>
      <c r="O63" s="23" t="inlineStr">
        <is>
          <t>-</t>
        </is>
      </c>
      <c r="P63" s="23" t="inlineStr">
        <is>
          <t>데이터시트 참조</t>
        </is>
      </c>
      <c r="Q63" s="23" t="inlineStr">
        <is>
          <t>현행 공식 플랫폼/데이터시트 등재</t>
        </is>
      </c>
      <c r="R63" s="24" t="inlineStr">
        <is>
          <t>https://www.arista.com/en/products/platforms</t>
        </is>
      </c>
      <c r="S63" s="24" t="inlineStr">
        <is>
          <t>https://www.arista.com/assets/data/pdf/Datasheets/7060X5-Datasheet.pdf</t>
        </is>
      </c>
      <c r="T63" s="23" t="inlineStr"/>
      <c r="U63" s="53" t="inlineStr">
        <is>
          <t>32x400G QSFP-DD + 1xSFP+</t>
        </is>
      </c>
      <c r="V63" s="53" t="inlineStr">
        <is>
          <t>12.8 (25.6) Tbps</t>
        </is>
      </c>
      <c r="W63" s="53" t="inlineStr">
        <is>
          <t>5.3 Bpps</t>
        </is>
      </c>
      <c r="X63" s="53" t="inlineStr">
        <is>
          <t>825 ns</t>
        </is>
      </c>
      <c r="Y63" s="53" t="inlineStr">
        <is>
          <t>Multi-core x86</t>
        </is>
      </c>
      <c r="Z63" s="53" t="inlineStr">
        <is>
          <t>16 GB</t>
        </is>
      </c>
      <c r="AA63" s="53" t="inlineStr">
        <is>
          <t>120 GB SSD</t>
        </is>
      </c>
      <c r="AB63" s="53" t="inlineStr">
        <is>
          <t>57 MB</t>
        </is>
      </c>
      <c r="AC63" s="53" t="inlineStr">
        <is>
          <t>Yes; 2 (1+1)</t>
        </is>
      </c>
      <c r="AD63" s="53" t="inlineStr">
        <is>
          <t>Yes; 3 (N+1)</t>
        </is>
      </c>
      <c r="AE63" s="53" t="inlineStr">
        <is>
          <t>Yes — front-to-rear / rear-to-front</t>
        </is>
      </c>
    </row>
    <row r="64" ht="72" customHeight="1">
      <c r="A64" s="25" t="n">
        <v>59</v>
      </c>
      <c r="B64" s="26" t="inlineStr">
        <is>
          <t>DCS</t>
        </is>
      </c>
      <c r="C64" s="27" t="inlineStr">
        <is>
          <t>7060X4</t>
        </is>
      </c>
      <c r="D64" s="27" t="inlineStr">
        <is>
          <t>7060PX4-32</t>
        </is>
      </c>
      <c r="E64" s="27" t="inlineStr">
        <is>
          <t>DCS-7060PX4-32 계열</t>
        </is>
      </c>
      <c r="F64" s="27" t="inlineStr">
        <is>
          <t>고정형</t>
        </is>
      </c>
      <c r="G64" s="27" t="inlineStr">
        <is>
          <t>400G AI/DC leaf-spine</t>
        </is>
      </c>
      <c r="H64" s="28" t="inlineStr">
        <is>
          <t>적합</t>
        </is>
      </c>
      <c r="I64" s="29" t="inlineStr">
        <is>
          <t>주력</t>
        </is>
      </c>
      <c r="J64" s="25" t="inlineStr">
        <is>
          <t>-</t>
        </is>
      </c>
      <c r="K64" s="27" t="inlineStr">
        <is>
          <t>32x400G OSFP</t>
        </is>
      </c>
      <c r="L64" s="27" t="inlineStr">
        <is>
          <t>25.6 Tbps</t>
        </is>
      </c>
      <c r="M64" s="27" t="inlineStr">
        <is>
          <t>700 ns</t>
        </is>
      </c>
      <c r="N64" s="27" t="inlineStr">
        <is>
          <t>1RU</t>
        </is>
      </c>
      <c r="O64" s="27" t="inlineStr">
        <is>
          <t>-</t>
        </is>
      </c>
      <c r="P64" s="27" t="inlineStr">
        <is>
          <t>데이터시트 참조</t>
        </is>
      </c>
      <c r="Q64" s="27" t="inlineStr">
        <is>
          <t>현행 공식 플랫폼/데이터시트 등재</t>
        </is>
      </c>
      <c r="R64" s="30" t="inlineStr">
        <is>
          <t>https://www.arista.com/en/products/platforms</t>
        </is>
      </c>
      <c r="S64" s="30" t="inlineStr">
        <is>
          <t>https://www.arista.com/assets/data/pdf/Datasheets/7060X4-Datasheet.pdf</t>
        </is>
      </c>
      <c r="T64" s="27" t="inlineStr"/>
      <c r="U64" s="54" t="inlineStr">
        <is>
          <t>32x400G OSFP + 2xSFP+</t>
        </is>
      </c>
      <c r="V64" s="54" t="inlineStr">
        <is>
          <t>25.6 Tbps (datasheet total/FDX notation)</t>
        </is>
      </c>
      <c r="W64" s="54" t="inlineStr">
        <is>
          <t>8 Bpps</t>
        </is>
      </c>
      <c r="X64" s="54" t="inlineStr">
        <is>
          <t>700 ns</t>
        </is>
      </c>
      <c r="Y64" s="54" t="inlineStr">
        <is>
          <t>Multi-core x86</t>
        </is>
      </c>
      <c r="Z64" s="54" t="inlineStr">
        <is>
          <t>8 GB</t>
        </is>
      </c>
      <c r="AA64" s="54" t="inlineStr">
        <is>
          <t>8 GB</t>
        </is>
      </c>
      <c r="AB64" s="54" t="inlineStr">
        <is>
          <t>64 MB</t>
        </is>
      </c>
      <c r="AC64" s="54" t="inlineStr">
        <is>
          <t>Yes; 2 (1+1)</t>
        </is>
      </c>
      <c r="AD64" s="54" t="inlineStr">
        <is>
          <t>Yes; 5 (N+1)</t>
        </is>
      </c>
      <c r="AE64" s="54" t="inlineStr">
        <is>
          <t>No — front-to-rear only</t>
        </is>
      </c>
    </row>
    <row r="65" ht="72" customHeight="1">
      <c r="A65" s="22" t="n">
        <v>60</v>
      </c>
      <c r="B65" s="18" t="inlineStr">
        <is>
          <t>DCS</t>
        </is>
      </c>
      <c r="C65" s="23" t="inlineStr">
        <is>
          <t>7060X4</t>
        </is>
      </c>
      <c r="D65" s="23" t="inlineStr">
        <is>
          <t>7060DX4-32</t>
        </is>
      </c>
      <c r="E65" s="23" t="inlineStr">
        <is>
          <t>DCS-7060DX4-32 계열</t>
        </is>
      </c>
      <c r="F65" s="23" t="inlineStr">
        <is>
          <t>고정형</t>
        </is>
      </c>
      <c r="G65" s="23" t="inlineStr">
        <is>
          <t>400G AI/DC leaf-spine</t>
        </is>
      </c>
      <c r="H65" s="31" t="inlineStr">
        <is>
          <t>적합</t>
        </is>
      </c>
      <c r="I65" s="20" t="inlineStr">
        <is>
          <t>주력</t>
        </is>
      </c>
      <c r="J65" s="22" t="inlineStr">
        <is>
          <t>-</t>
        </is>
      </c>
      <c r="K65" s="23" t="inlineStr">
        <is>
          <t>32x400G QSFP-DD</t>
        </is>
      </c>
      <c r="L65" s="23" t="inlineStr">
        <is>
          <t>25.6 Tbps</t>
        </is>
      </c>
      <c r="M65" s="23" t="inlineStr">
        <is>
          <t>700 ns</t>
        </is>
      </c>
      <c r="N65" s="23" t="inlineStr">
        <is>
          <t>1RU</t>
        </is>
      </c>
      <c r="O65" s="23" t="inlineStr">
        <is>
          <t>-</t>
        </is>
      </c>
      <c r="P65" s="23" t="inlineStr">
        <is>
          <t>데이터시트 참조</t>
        </is>
      </c>
      <c r="Q65" s="23" t="inlineStr">
        <is>
          <t>현행 공식 플랫폼/데이터시트 등재</t>
        </is>
      </c>
      <c r="R65" s="24" t="inlineStr">
        <is>
          <t>https://www.arista.com/en/products/platforms</t>
        </is>
      </c>
      <c r="S65" s="24" t="inlineStr">
        <is>
          <t>https://www.arista.com/assets/data/pdf/Datasheets/7060X4-Datasheet.pdf</t>
        </is>
      </c>
      <c r="T65" s="23" t="inlineStr"/>
      <c r="U65" s="53" t="inlineStr">
        <is>
          <t>32x400G QSFP-DD + 2xSFP+</t>
        </is>
      </c>
      <c r="V65" s="53" t="inlineStr">
        <is>
          <t>25.6 Tbps (datasheet total/FDX notation)</t>
        </is>
      </c>
      <c r="W65" s="53" t="inlineStr">
        <is>
          <t>8 Bpps</t>
        </is>
      </c>
      <c r="X65" s="53" t="inlineStr">
        <is>
          <t>700 ns</t>
        </is>
      </c>
      <c r="Y65" s="53" t="inlineStr">
        <is>
          <t>Multi-core x86</t>
        </is>
      </c>
      <c r="Z65" s="53" t="inlineStr">
        <is>
          <t>8 GB</t>
        </is>
      </c>
      <c r="AA65" s="53" t="inlineStr">
        <is>
          <t>8 GB</t>
        </is>
      </c>
      <c r="AB65" s="53" t="inlineStr">
        <is>
          <t>64 MB</t>
        </is>
      </c>
      <c r="AC65" s="53" t="inlineStr">
        <is>
          <t>Yes; 2 (1+1)</t>
        </is>
      </c>
      <c r="AD65" s="53" t="inlineStr">
        <is>
          <t>Yes; 5 (N+1)</t>
        </is>
      </c>
      <c r="AE65" s="53" t="inlineStr">
        <is>
          <t>No — front-to-rear only</t>
        </is>
      </c>
    </row>
    <row r="66" ht="72" customHeight="1">
      <c r="A66" s="25" t="n">
        <v>61</v>
      </c>
      <c r="B66" s="26" t="inlineStr">
        <is>
          <t>DCS</t>
        </is>
      </c>
      <c r="C66" s="27" t="inlineStr">
        <is>
          <t>7260X</t>
        </is>
      </c>
      <c r="D66" s="27" t="inlineStr">
        <is>
          <t>7260QX-64</t>
        </is>
      </c>
      <c r="E66" s="27" t="inlineStr">
        <is>
          <t>DCS-7260QX-64 계열</t>
        </is>
      </c>
      <c r="F66" s="27" t="inlineStr">
        <is>
          <t>고정형</t>
        </is>
      </c>
      <c r="G66" s="27" t="inlineStr">
        <is>
          <t>Cloud DC leaf/spine</t>
        </is>
      </c>
      <c r="H66" s="25" t="inlineStr">
        <is>
          <t>-</t>
        </is>
      </c>
      <c r="I66" s="29" t="inlineStr">
        <is>
          <t>주력</t>
        </is>
      </c>
      <c r="J66" s="25" t="inlineStr">
        <is>
          <t>-</t>
        </is>
      </c>
      <c r="K66" s="27" t="inlineStr">
        <is>
          <t>64x40G QSFP+</t>
        </is>
      </c>
      <c r="L66" s="27" t="inlineStr">
        <is>
          <t>5.12 Tbps</t>
        </is>
      </c>
      <c r="M66" s="27" t="inlineStr">
        <is>
          <t>550 ns</t>
        </is>
      </c>
      <c r="N66" s="27" t="inlineStr">
        <is>
          <t>2RU</t>
        </is>
      </c>
      <c r="O66" s="27" t="inlineStr">
        <is>
          <t>-</t>
        </is>
      </c>
      <c r="P66" s="27" t="inlineStr">
        <is>
          <t>데이터시트 참조</t>
        </is>
      </c>
      <c r="Q66" s="27" t="inlineStr">
        <is>
          <t>현행 공식 플랫폼/데이터시트 등재</t>
        </is>
      </c>
      <c r="R66" s="30" t="inlineStr">
        <is>
          <t>https://www.arista.com/en/products/platforms</t>
        </is>
      </c>
      <c r="S66" s="30" t="inlineStr">
        <is>
          <t>https://www.arista.com/assets/data/pdf/Datasheets/7060X_7260X_DS.pdf</t>
        </is>
      </c>
      <c r="T66" s="27" t="inlineStr">
        <is>
          <t>이전 세대이지만 현행 공식 플랫폼 비교 페이지에 표시됨</t>
        </is>
      </c>
      <c r="U66" s="54" t="inlineStr">
        <is>
          <t>64x40G QSFP+ + 2xSFP+</t>
        </is>
      </c>
      <c r="V66" s="54" t="inlineStr">
        <is>
          <t>5.12 Tbps</t>
        </is>
      </c>
      <c r="W66" s="54" t="inlineStr">
        <is>
          <t>3.3 Bpps</t>
        </is>
      </c>
      <c r="X66" s="54" t="inlineStr">
        <is>
          <t>550 ns</t>
        </is>
      </c>
      <c r="Y66" s="54" t="inlineStr">
        <is>
          <t>Multi-core x86</t>
        </is>
      </c>
      <c r="Z66" s="54" t="inlineStr">
        <is>
          <t>4 GB</t>
        </is>
      </c>
      <c r="AA66" s="54" t="inlineStr">
        <is>
          <t>4 GB</t>
        </is>
      </c>
      <c r="AB66" s="54" t="inlineStr">
        <is>
          <t>16 MB</t>
        </is>
      </c>
      <c r="AC66" s="54" t="inlineStr">
        <is>
          <t>Yes; 2 (1+1)</t>
        </is>
      </c>
      <c r="AD66" s="54" t="inlineStr">
        <is>
          <t>Yes; 4 (N+1)</t>
        </is>
      </c>
      <c r="AE66" s="54" t="inlineStr">
        <is>
          <t>Yes — front-to-rear / rear-to-front</t>
        </is>
      </c>
    </row>
    <row r="67" ht="72" customHeight="1">
      <c r="A67" s="32" t="n">
        <v>62</v>
      </c>
      <c r="B67" s="26" t="inlineStr">
        <is>
          <t>DCS</t>
        </is>
      </c>
      <c r="C67" s="33" t="inlineStr">
        <is>
          <t>7260X3</t>
        </is>
      </c>
      <c r="D67" s="33" t="inlineStr">
        <is>
          <t>7260CX3-64</t>
        </is>
      </c>
      <c r="E67" s="33" t="inlineStr">
        <is>
          <t>DCS-7260CX3-64 계열</t>
        </is>
      </c>
      <c r="F67" s="33" t="inlineStr">
        <is>
          <t>고정형</t>
        </is>
      </c>
      <c r="G67" s="33" t="inlineStr">
        <is>
          <t>Cloud DC leaf/spine</t>
        </is>
      </c>
      <c r="H67" s="32" t="inlineStr">
        <is>
          <t>-</t>
        </is>
      </c>
      <c r="I67" s="29" t="inlineStr">
        <is>
          <t>주력</t>
        </is>
      </c>
      <c r="J67" s="32" t="inlineStr">
        <is>
          <t>-</t>
        </is>
      </c>
      <c r="K67" s="33" t="inlineStr">
        <is>
          <t>64x100G QSFP</t>
        </is>
      </c>
      <c r="L67" s="33" t="inlineStr">
        <is>
          <t>12.8 Tbps</t>
        </is>
      </c>
      <c r="M67" s="33" t="inlineStr">
        <is>
          <t>450 ns</t>
        </is>
      </c>
      <c r="N67" s="33" t="inlineStr">
        <is>
          <t>2RU</t>
        </is>
      </c>
      <c r="O67" s="33" t="inlineStr">
        <is>
          <t>-</t>
        </is>
      </c>
      <c r="P67" s="33" t="inlineStr">
        <is>
          <t>데이터시트 참조</t>
        </is>
      </c>
      <c r="Q67" s="33" t="inlineStr">
        <is>
          <t>현행 공식 플랫폼/데이터시트 등재</t>
        </is>
      </c>
      <c r="R67" s="34" t="inlineStr">
        <is>
          <t>https://www.arista.com/en/products/platforms</t>
        </is>
      </c>
      <c r="S67" s="34" t="inlineStr">
        <is>
          <t>https://www.arista.com/assets/data/pdf/Datasheets/7260X3_Datasheet.pdf</t>
        </is>
      </c>
      <c r="T67" s="33" t="inlineStr">
        <is>
          <t>이전 세대이지만 현행 공식 플랫폼 비교 페이지에 표시됨</t>
        </is>
      </c>
      <c r="U67" s="55" t="inlineStr">
        <is>
          <t>64x100G QSFP + 2xSFP+</t>
        </is>
      </c>
      <c r="V67" s="55" t="inlineStr">
        <is>
          <t>6.4 (12.8) Tbps</t>
        </is>
      </c>
      <c r="W67" s="55" t="inlineStr">
        <is>
          <t>4.2 Bpps</t>
        </is>
      </c>
      <c r="X67" s="55" t="inlineStr">
        <is>
          <t>450 ns</t>
        </is>
      </c>
      <c r="Y67" s="55" t="inlineStr">
        <is>
          <t>Dual-core x86</t>
        </is>
      </c>
      <c r="Z67" s="55" t="inlineStr">
        <is>
          <t>8 GB</t>
        </is>
      </c>
      <c r="AA67" s="55" t="inlineStr">
        <is>
          <t>30 GB</t>
        </is>
      </c>
      <c r="AB67" s="55" t="inlineStr">
        <is>
          <t>42 MB</t>
        </is>
      </c>
      <c r="AC67" s="55" t="inlineStr">
        <is>
          <t>Yes; 2 (1+1)</t>
        </is>
      </c>
      <c r="AD67" s="55" t="inlineStr">
        <is>
          <t>Yes; 4 (N+1)</t>
        </is>
      </c>
      <c r="AE67" s="55" t="inlineStr">
        <is>
          <t>Yes — front-to-rear / rear-to-front</t>
        </is>
      </c>
    </row>
    <row r="68" ht="72" customHeight="1">
      <c r="A68" s="25" t="n">
        <v>63</v>
      </c>
      <c r="B68" s="26" t="inlineStr">
        <is>
          <t>DCS</t>
        </is>
      </c>
      <c r="C68" s="27" t="inlineStr">
        <is>
          <t>7260X</t>
        </is>
      </c>
      <c r="D68" s="27" t="inlineStr">
        <is>
          <t>7260CX-64</t>
        </is>
      </c>
      <c r="E68" s="27" t="inlineStr">
        <is>
          <t>DCS-7260CX-64 계열</t>
        </is>
      </c>
      <c r="F68" s="27" t="inlineStr">
        <is>
          <t>고정형</t>
        </is>
      </c>
      <c r="G68" s="27" t="inlineStr">
        <is>
          <t>Cloud DC leaf/spine</t>
        </is>
      </c>
      <c r="H68" s="25" t="inlineStr">
        <is>
          <t>-</t>
        </is>
      </c>
      <c r="I68" s="29" t="inlineStr">
        <is>
          <t>주력</t>
        </is>
      </c>
      <c r="J68" s="25" t="inlineStr">
        <is>
          <t>-</t>
        </is>
      </c>
      <c r="K68" s="27" t="inlineStr">
        <is>
          <t>64x100G QSFP</t>
        </is>
      </c>
      <c r="L68" s="27" t="inlineStr">
        <is>
          <t>12.8 Tbps</t>
        </is>
      </c>
      <c r="M68" s="27" t="inlineStr">
        <is>
          <t>550 ns</t>
        </is>
      </c>
      <c r="N68" s="27" t="inlineStr">
        <is>
          <t>2RU</t>
        </is>
      </c>
      <c r="O68" s="27" t="inlineStr">
        <is>
          <t>-</t>
        </is>
      </c>
      <c r="P68" s="27" t="inlineStr">
        <is>
          <t>데이터시트 참조</t>
        </is>
      </c>
      <c r="Q68" s="27" t="inlineStr">
        <is>
          <t>현행 공식 플랫폼/데이터시트 등재</t>
        </is>
      </c>
      <c r="R68" s="30" t="inlineStr">
        <is>
          <t>https://www.arista.com/en/products/platforms</t>
        </is>
      </c>
      <c r="S68" s="30" t="inlineStr">
        <is>
          <t>https://www.arista.com/assets/data/pdf/Datasheets/7060X_7260X_DS.pdf</t>
        </is>
      </c>
      <c r="T68" s="27" t="inlineStr">
        <is>
          <t>이전 세대이지만 현행 공식 플랫폼 비교 페이지에 표시됨</t>
        </is>
      </c>
      <c r="U68" s="54" t="inlineStr">
        <is>
          <t>64x100G QSFP + 2xSFP+</t>
        </is>
      </c>
      <c r="V68" s="54" t="inlineStr">
        <is>
          <t>12.8 Tbps</t>
        </is>
      </c>
      <c r="W68" s="54" t="inlineStr">
        <is>
          <t>9.52 Bpps</t>
        </is>
      </c>
      <c r="X68" s="54" t="inlineStr">
        <is>
          <t>550–1500 ns</t>
        </is>
      </c>
      <c r="Y68" s="54" t="inlineStr">
        <is>
          <t>Dual-core i7 x86</t>
        </is>
      </c>
      <c r="Z68" s="54" t="inlineStr">
        <is>
          <t>8 GB</t>
        </is>
      </c>
      <c r="AA68" s="54" t="inlineStr">
        <is>
          <t>4 GB</t>
        </is>
      </c>
      <c r="AB68" s="54" t="inlineStr">
        <is>
          <t>64 MB</t>
        </is>
      </c>
      <c r="AC68" s="54" t="inlineStr">
        <is>
          <t>Yes; 2 (1+1)</t>
        </is>
      </c>
      <c r="AD68" s="54" t="inlineStr">
        <is>
          <t>Yes; 4 (N+1)</t>
        </is>
      </c>
      <c r="AE68" s="54" t="inlineStr">
        <is>
          <t>Yes — front-to-rear / rear-to-front</t>
        </is>
      </c>
    </row>
    <row r="69" ht="72" customHeight="1">
      <c r="A69" s="32" t="n">
        <v>64</v>
      </c>
      <c r="B69" s="26" t="inlineStr">
        <is>
          <t>DCS</t>
        </is>
      </c>
      <c r="C69" s="33" t="inlineStr">
        <is>
          <t>7060X</t>
        </is>
      </c>
      <c r="D69" s="33" t="inlineStr">
        <is>
          <t>7060SX2-48YC6</t>
        </is>
      </c>
      <c r="E69" s="33" t="inlineStr">
        <is>
          <t>DCS-7060SX2-48YC6 계열</t>
        </is>
      </c>
      <c r="F69" s="33" t="inlineStr">
        <is>
          <t>고정형</t>
        </is>
      </c>
      <c r="G69" s="33" t="inlineStr">
        <is>
          <t>Cloud DC leaf/spine</t>
        </is>
      </c>
      <c r="H69" s="32" t="inlineStr">
        <is>
          <t>-</t>
        </is>
      </c>
      <c r="I69" s="29" t="inlineStr">
        <is>
          <t>주력</t>
        </is>
      </c>
      <c r="J69" s="32" t="inlineStr">
        <is>
          <t>-</t>
        </is>
      </c>
      <c r="K69" s="33" t="inlineStr">
        <is>
          <t>48x1/10/25G SFP + 6x100G</t>
        </is>
      </c>
      <c r="L69" s="33" t="inlineStr">
        <is>
          <t>3.6 Tbps</t>
        </is>
      </c>
      <c r="M69" s="33" t="inlineStr">
        <is>
          <t>450 ns</t>
        </is>
      </c>
      <c r="N69" s="33" t="inlineStr">
        <is>
          <t>1RU</t>
        </is>
      </c>
      <c r="O69" s="33" t="inlineStr">
        <is>
          <t>-</t>
        </is>
      </c>
      <c r="P69" s="33" t="inlineStr">
        <is>
          <t>데이터시트 참조</t>
        </is>
      </c>
      <c r="Q69" s="33" t="inlineStr">
        <is>
          <t>현행 공식 플랫폼/데이터시트 등재</t>
        </is>
      </c>
      <c r="R69" s="34" t="inlineStr">
        <is>
          <t>https://www.arista.com/en/products/platforms</t>
        </is>
      </c>
      <c r="S69" s="34" t="inlineStr">
        <is>
          <t>https://www.arista.com/assets/data/pdf/Datasheets/7060X_7260X_DS.pdf</t>
        </is>
      </c>
      <c r="T69" s="33" t="inlineStr">
        <is>
          <t>이전 세대이지만 현행 공식 플랫폼 비교 페이지에 표시됨</t>
        </is>
      </c>
      <c r="U69" s="55" t="inlineStr">
        <is>
          <t>48x1/10/25G SFP + 6x100G QSFP</t>
        </is>
      </c>
      <c r="V69" s="55" t="inlineStr">
        <is>
          <t>3.6 Tbps</t>
        </is>
      </c>
      <c r="W69" s="55" t="inlineStr">
        <is>
          <t>2.7 Bpps</t>
        </is>
      </c>
      <c r="X69" s="55" t="inlineStr">
        <is>
          <t>450 ns</t>
        </is>
      </c>
      <c r="Y69" s="55" t="inlineStr">
        <is>
          <t>Multi-core x86</t>
        </is>
      </c>
      <c r="Z69" s="55" t="inlineStr">
        <is>
          <t>8 GB</t>
        </is>
      </c>
      <c r="AA69" s="55" t="inlineStr">
        <is>
          <t>4 GB</t>
        </is>
      </c>
      <c r="AB69" s="55" t="inlineStr">
        <is>
          <t>22 MB</t>
        </is>
      </c>
      <c r="AC69" s="55" t="inlineStr">
        <is>
          <t>Yes; 2 (1+1)</t>
        </is>
      </c>
      <c r="AD69" s="55" t="inlineStr">
        <is>
          <t>Yes; 4 (N+1)</t>
        </is>
      </c>
      <c r="AE69" s="55" t="inlineStr">
        <is>
          <t>Yes — front-to-rear / rear-to-front</t>
        </is>
      </c>
    </row>
    <row r="70" ht="72" customHeight="1">
      <c r="A70" s="17" t="n">
        <v>65</v>
      </c>
      <c r="B70" s="18" t="inlineStr">
        <is>
          <t>DCS</t>
        </is>
      </c>
      <c r="C70" s="19" t="inlineStr">
        <is>
          <t>7060X</t>
        </is>
      </c>
      <c r="D70" s="19" t="inlineStr">
        <is>
          <t>7060CX2-32S</t>
        </is>
      </c>
      <c r="E70" s="19" t="inlineStr">
        <is>
          <t>DCS-7060CX2-32S 계열</t>
        </is>
      </c>
      <c r="F70" s="19" t="inlineStr">
        <is>
          <t>고정형</t>
        </is>
      </c>
      <c r="G70" s="19" t="inlineStr">
        <is>
          <t>Cloud DC leaf/spine</t>
        </is>
      </c>
      <c r="H70" s="17" t="inlineStr">
        <is>
          <t>-</t>
        </is>
      </c>
      <c r="I70" s="20" t="inlineStr">
        <is>
          <t>주력</t>
        </is>
      </c>
      <c r="J70" s="17" t="inlineStr">
        <is>
          <t>-</t>
        </is>
      </c>
      <c r="K70" s="19" t="inlineStr">
        <is>
          <t>32x100G QSFP</t>
        </is>
      </c>
      <c r="L70" s="19" t="inlineStr">
        <is>
          <t>6.4 Tbps</t>
        </is>
      </c>
      <c r="M70" s="19" t="inlineStr">
        <is>
          <t>450 ns</t>
        </is>
      </c>
      <c r="N70" s="19" t="inlineStr">
        <is>
          <t>1RU</t>
        </is>
      </c>
      <c r="O70" s="19" t="inlineStr">
        <is>
          <t>-</t>
        </is>
      </c>
      <c r="P70" s="19" t="inlineStr">
        <is>
          <t>데이터시트 참조</t>
        </is>
      </c>
      <c r="Q70" s="19" t="inlineStr">
        <is>
          <t>현행 공식 플랫폼/데이터시트 등재</t>
        </is>
      </c>
      <c r="R70" s="21" t="inlineStr">
        <is>
          <t>https://www.arista.com/en/products/platforms</t>
        </is>
      </c>
      <c r="S70" s="21" t="inlineStr">
        <is>
          <t>https://www.arista.com/assets/data/pdf/Datasheets/7060X_7260X_DS.pdf</t>
        </is>
      </c>
      <c r="T70" s="19" t="inlineStr">
        <is>
          <t>이전 세대이지만 현행 공식 플랫폼 비교 페이지에 표시됨</t>
        </is>
      </c>
      <c r="U70" s="51" t="inlineStr">
        <is>
          <t>32x100G QSFP + 2xSFP+</t>
        </is>
      </c>
      <c r="V70" s="51" t="inlineStr">
        <is>
          <t>6.4 Tbps</t>
        </is>
      </c>
      <c r="W70" s="51" t="inlineStr">
        <is>
          <t>3.3 Bpps</t>
        </is>
      </c>
      <c r="X70" s="51" t="inlineStr">
        <is>
          <t>450 ns</t>
        </is>
      </c>
      <c r="Y70" s="51" t="inlineStr">
        <is>
          <t>Multi-core x86</t>
        </is>
      </c>
      <c r="Z70" s="51" t="inlineStr">
        <is>
          <t>8 GB</t>
        </is>
      </c>
      <c r="AA70" s="51" t="inlineStr">
        <is>
          <t>4 GB</t>
        </is>
      </c>
      <c r="AB70" s="51" t="inlineStr">
        <is>
          <t>22 MB</t>
        </is>
      </c>
      <c r="AC70" s="51" t="inlineStr">
        <is>
          <t>Yes; 2 (1+1)</t>
        </is>
      </c>
      <c r="AD70" s="51" t="inlineStr">
        <is>
          <t>Yes; 4 (N+1)</t>
        </is>
      </c>
      <c r="AE70" s="51" t="inlineStr">
        <is>
          <t>Yes — front-to-rear / rear-to-front</t>
        </is>
      </c>
    </row>
    <row r="71" ht="72" customHeight="1">
      <c r="A71" s="22" t="n">
        <v>66</v>
      </c>
      <c r="B71" s="18" t="inlineStr">
        <is>
          <t>DCS</t>
        </is>
      </c>
      <c r="C71" s="23" t="inlineStr">
        <is>
          <t>7060X</t>
        </is>
      </c>
      <c r="D71" s="23" t="inlineStr">
        <is>
          <t>7060CX-32S</t>
        </is>
      </c>
      <c r="E71" s="23" t="inlineStr">
        <is>
          <t>DCS-7060CX-32S 계열</t>
        </is>
      </c>
      <c r="F71" s="23" t="inlineStr">
        <is>
          <t>고정형</t>
        </is>
      </c>
      <c r="G71" s="23" t="inlineStr">
        <is>
          <t>Cloud DC leaf/spine</t>
        </is>
      </c>
      <c r="H71" s="22" t="inlineStr">
        <is>
          <t>-</t>
        </is>
      </c>
      <c r="I71" s="20" t="inlineStr">
        <is>
          <t>주력</t>
        </is>
      </c>
      <c r="J71" s="22" t="inlineStr">
        <is>
          <t>-</t>
        </is>
      </c>
      <c r="K71" s="23" t="inlineStr">
        <is>
          <t>32x100G QSFP</t>
        </is>
      </c>
      <c r="L71" s="23" t="inlineStr">
        <is>
          <t>6.4 Tbps</t>
        </is>
      </c>
      <c r="M71" s="23" t="inlineStr">
        <is>
          <t>450 ns</t>
        </is>
      </c>
      <c r="N71" s="23" t="inlineStr">
        <is>
          <t>1RU</t>
        </is>
      </c>
      <c r="O71" s="23" t="inlineStr">
        <is>
          <t>-</t>
        </is>
      </c>
      <c r="P71" s="23" t="inlineStr">
        <is>
          <t>데이터시트 참조</t>
        </is>
      </c>
      <c r="Q71" s="23" t="inlineStr">
        <is>
          <t>현행 공식 플랫폼/데이터시트 등재</t>
        </is>
      </c>
      <c r="R71" s="24" t="inlineStr">
        <is>
          <t>https://www.arista.com/en/products/platforms</t>
        </is>
      </c>
      <c r="S71" s="24" t="inlineStr">
        <is>
          <t>https://www.arista.com/assets/data/pdf/Datasheets/7060X_7260X_DS.pdf</t>
        </is>
      </c>
      <c r="T71" s="23" t="inlineStr">
        <is>
          <t>이전 세대이지만 현행 공식 플랫폼 비교 페이지에 표시됨</t>
        </is>
      </c>
      <c r="U71" s="53" t="inlineStr">
        <is>
          <t>32x100G QSFP + 2xSFP+</t>
        </is>
      </c>
      <c r="V71" s="53" t="inlineStr">
        <is>
          <t>6.4 Tbps</t>
        </is>
      </c>
      <c r="W71" s="53" t="inlineStr">
        <is>
          <t>3.3 Bpps</t>
        </is>
      </c>
      <c r="X71" s="53" t="inlineStr">
        <is>
          <t>450 ns</t>
        </is>
      </c>
      <c r="Y71" s="53" t="inlineStr">
        <is>
          <t>Multi-core x86</t>
        </is>
      </c>
      <c r="Z71" s="53" t="inlineStr">
        <is>
          <t>4 GB</t>
        </is>
      </c>
      <c r="AA71" s="53" t="inlineStr">
        <is>
          <t>4 GB</t>
        </is>
      </c>
      <c r="AB71" s="53" t="inlineStr">
        <is>
          <t>16 MB</t>
        </is>
      </c>
      <c r="AC71" s="53" t="inlineStr">
        <is>
          <t>Yes; 2 (1+1)</t>
        </is>
      </c>
      <c r="AD71" s="53" t="inlineStr">
        <is>
          <t>Yes; 4 (N+1)</t>
        </is>
      </c>
      <c r="AE71" s="53" t="inlineStr">
        <is>
          <t>Yes — front-to-rear / rear-to-front</t>
        </is>
      </c>
    </row>
    <row r="72" ht="72" customHeight="1">
      <c r="A72" s="25" t="n">
        <v>67</v>
      </c>
      <c r="B72" s="26" t="inlineStr">
        <is>
          <t>DCS</t>
        </is>
      </c>
      <c r="C72" s="27" t="inlineStr">
        <is>
          <t>7050X4</t>
        </is>
      </c>
      <c r="D72" s="27" t="inlineStr">
        <is>
          <t>7050PX4-32S</t>
        </is>
      </c>
      <c r="E72" s="27" t="inlineStr">
        <is>
          <t>DCS-7050PX4-32S 계열</t>
        </is>
      </c>
      <c r="F72" s="27" t="inlineStr">
        <is>
          <t>고정형</t>
        </is>
      </c>
      <c r="G72" s="27" t="inlineStr">
        <is>
          <t>100/200/400G DC leaf-spine; 일부 AI workload</t>
        </is>
      </c>
      <c r="H72" s="28" t="inlineStr">
        <is>
          <t>적합</t>
        </is>
      </c>
      <c r="I72" s="29" t="inlineStr">
        <is>
          <t>주력</t>
        </is>
      </c>
      <c r="J72" s="25" t="inlineStr">
        <is>
          <t>-</t>
        </is>
      </c>
      <c r="K72" s="27" t="inlineStr">
        <is>
          <t>32x400G OSFP + 2xSFP+</t>
        </is>
      </c>
      <c r="L72" s="27" t="inlineStr">
        <is>
          <t>12.8 Tbps</t>
        </is>
      </c>
      <c r="M72" s="27" t="inlineStr">
        <is>
          <t>700~900 ns</t>
        </is>
      </c>
      <c r="N72" s="27" t="inlineStr">
        <is>
          <t>1RU</t>
        </is>
      </c>
      <c r="O72" s="27" t="inlineStr">
        <is>
          <t>-</t>
        </is>
      </c>
      <c r="P72" s="27" t="inlineStr">
        <is>
          <t>-</t>
        </is>
      </c>
      <c r="Q72" s="27" t="inlineStr">
        <is>
          <t>현행 공식 플랫폼/데이터시트 등재</t>
        </is>
      </c>
      <c r="R72" s="30" t="inlineStr">
        <is>
          <t>https://www.arista.com/en/products/platforms</t>
        </is>
      </c>
      <c r="S72" s="30" t="inlineStr">
        <is>
          <t>https://www.arista.com/assets/data/pdf/Datasheets/7050X4-Datasheet.pdf</t>
        </is>
      </c>
      <c r="T72" s="27" t="inlineStr">
        <is>
          <t>플랫폼 표는 25.6Tbps 양방향 표기를 사용; 데이터시트 line-rate는 12.8Tbps</t>
        </is>
      </c>
      <c r="U72" s="54" t="inlineStr">
        <is>
          <t>32x400G OSFP + 2xSFP+</t>
        </is>
      </c>
      <c r="V72" s="54" t="inlineStr">
        <is>
          <t>12.8 (25.6) Tbps</t>
        </is>
      </c>
      <c r="W72" s="54" t="inlineStr">
        <is>
          <t>5.3 Bpps</t>
        </is>
      </c>
      <c r="X72" s="54" t="inlineStr">
        <is>
          <t>900 ns</t>
        </is>
      </c>
      <c r="Y72" s="54" t="inlineStr">
        <is>
          <t>Quad-core x86</t>
        </is>
      </c>
      <c r="Z72" s="54" t="inlineStr">
        <is>
          <t>16 GB</t>
        </is>
      </c>
      <c r="AA72" s="54" t="inlineStr">
        <is>
          <t>16 GB</t>
        </is>
      </c>
      <c r="AB72" s="54" t="inlineStr">
        <is>
          <t>132 MB</t>
        </is>
      </c>
      <c r="AC72" s="54" t="inlineStr">
        <is>
          <t>Yes; 2 (1+1)</t>
        </is>
      </c>
      <c r="AD72" s="54" t="inlineStr">
        <is>
          <t>Yes; 3 (N+1)</t>
        </is>
      </c>
      <c r="AE72" s="54" t="inlineStr">
        <is>
          <t>Yes — front-to-rear / rear-to-front</t>
        </is>
      </c>
    </row>
    <row r="73" ht="72" customHeight="1">
      <c r="A73" s="22" t="n">
        <v>68</v>
      </c>
      <c r="B73" s="18" t="inlineStr">
        <is>
          <t>DCS</t>
        </is>
      </c>
      <c r="C73" s="23" t="inlineStr">
        <is>
          <t>7050X4</t>
        </is>
      </c>
      <c r="D73" s="23" t="inlineStr">
        <is>
          <t>7050DX4-32S</t>
        </is>
      </c>
      <c r="E73" s="23" t="inlineStr">
        <is>
          <t>DCS-7050DX4-32S 계열</t>
        </is>
      </c>
      <c r="F73" s="23" t="inlineStr">
        <is>
          <t>고정형</t>
        </is>
      </c>
      <c r="G73" s="23" t="inlineStr">
        <is>
          <t>100/200/400G DC leaf-spine; 일부 AI workload</t>
        </is>
      </c>
      <c r="H73" s="31" t="inlineStr">
        <is>
          <t>적합</t>
        </is>
      </c>
      <c r="I73" s="20" t="inlineStr">
        <is>
          <t>주력</t>
        </is>
      </c>
      <c r="J73" s="22" t="inlineStr">
        <is>
          <t>-</t>
        </is>
      </c>
      <c r="K73" s="23" t="inlineStr">
        <is>
          <t>32x400G QSFP-DD + 2xSFP+</t>
        </is>
      </c>
      <c r="L73" s="23" t="inlineStr">
        <is>
          <t>12.8 Tbps</t>
        </is>
      </c>
      <c r="M73" s="23" t="inlineStr">
        <is>
          <t>700~900 ns</t>
        </is>
      </c>
      <c r="N73" s="23" t="inlineStr">
        <is>
          <t>1RU</t>
        </is>
      </c>
      <c r="O73" s="23" t="inlineStr">
        <is>
          <t>-</t>
        </is>
      </c>
      <c r="P73" s="23" t="inlineStr">
        <is>
          <t>-</t>
        </is>
      </c>
      <c r="Q73" s="23" t="inlineStr">
        <is>
          <t>현행 공식 플랫폼/데이터시트 등재</t>
        </is>
      </c>
      <c r="R73" s="24" t="inlineStr">
        <is>
          <t>https://www.arista.com/en/products/platforms</t>
        </is>
      </c>
      <c r="S73" s="24" t="inlineStr">
        <is>
          <t>https://www.arista.com/assets/data/pdf/Datasheets/7050X4-Datasheet.pdf</t>
        </is>
      </c>
      <c r="T73" s="23" t="inlineStr">
        <is>
          <t>플랫폼 표는 25.6Tbps 양방향 표기를 사용; 데이터시트 line-rate는 12.8Tbps</t>
        </is>
      </c>
      <c r="U73" s="53" t="inlineStr">
        <is>
          <t>32x400G QSFP-DD + 2xSFP+</t>
        </is>
      </c>
      <c r="V73" s="53" t="inlineStr">
        <is>
          <t>12.8 (25.6) Tbps</t>
        </is>
      </c>
      <c r="W73" s="53" t="inlineStr">
        <is>
          <t>5.3 Bpps</t>
        </is>
      </c>
      <c r="X73" s="53" t="inlineStr">
        <is>
          <t>900 ns</t>
        </is>
      </c>
      <c r="Y73" s="53" t="inlineStr">
        <is>
          <t>Quad-core x86</t>
        </is>
      </c>
      <c r="Z73" s="53" t="inlineStr">
        <is>
          <t>16 GB</t>
        </is>
      </c>
      <c r="AA73" s="53" t="inlineStr">
        <is>
          <t>16 GB</t>
        </is>
      </c>
      <c r="AB73" s="53" t="inlineStr">
        <is>
          <t>132 MB</t>
        </is>
      </c>
      <c r="AC73" s="53" t="inlineStr">
        <is>
          <t>Yes; 2 (1+1)</t>
        </is>
      </c>
      <c r="AD73" s="53" t="inlineStr">
        <is>
          <t>Yes; 3 (N+1)</t>
        </is>
      </c>
      <c r="AE73" s="53" t="inlineStr">
        <is>
          <t>Yes — front-to-rear / rear-to-front</t>
        </is>
      </c>
    </row>
    <row r="74" ht="72" customHeight="1">
      <c r="A74" s="17" t="n">
        <v>69</v>
      </c>
      <c r="B74" s="18" t="inlineStr">
        <is>
          <t>DCS</t>
        </is>
      </c>
      <c r="C74" s="19" t="inlineStr">
        <is>
          <t>7050X4</t>
        </is>
      </c>
      <c r="D74" s="19" t="inlineStr">
        <is>
          <t>7050DX4M-32S</t>
        </is>
      </c>
      <c r="E74" s="19" t="inlineStr">
        <is>
          <t>DCS-7050DX4M-32S 계열</t>
        </is>
      </c>
      <c r="F74" s="19" t="inlineStr">
        <is>
          <t>고정형</t>
        </is>
      </c>
      <c r="G74" s="19" t="inlineStr">
        <is>
          <t>100/200/400G DC leaf-spine; 일부 AI workload</t>
        </is>
      </c>
      <c r="H74" s="31" t="inlineStr">
        <is>
          <t>적합</t>
        </is>
      </c>
      <c r="I74" s="20" t="inlineStr">
        <is>
          <t>주력</t>
        </is>
      </c>
      <c r="J74" s="17" t="inlineStr">
        <is>
          <t>-</t>
        </is>
      </c>
      <c r="K74" s="19" t="inlineStr">
        <is>
          <t>32x400G QSFP-DD + 2xSFP+</t>
        </is>
      </c>
      <c r="L74" s="19" t="inlineStr">
        <is>
          <t>12.8 Tbps</t>
        </is>
      </c>
      <c r="M74" s="19" t="inlineStr">
        <is>
          <t>900 ns</t>
        </is>
      </c>
      <c r="N74" s="19" t="inlineStr">
        <is>
          <t>1RU</t>
        </is>
      </c>
      <c r="O74" s="19" t="inlineStr">
        <is>
          <t>-</t>
        </is>
      </c>
      <c r="P74" s="19" t="inlineStr">
        <is>
          <t>MACsec(일부 포트)</t>
        </is>
      </c>
      <c r="Q74" s="19" t="inlineStr">
        <is>
          <t>현행 공식 플랫폼/데이터시트 등재</t>
        </is>
      </c>
      <c r="R74" s="21" t="inlineStr">
        <is>
          <t>https://www.arista.com/en/products/platforms</t>
        </is>
      </c>
      <c r="S74" s="21" t="inlineStr">
        <is>
          <t>https://www.arista.com/assets/data/pdf/Datasheets/7050X4-Datasheet.pdf</t>
        </is>
      </c>
      <c r="T74" s="19" t="inlineStr">
        <is>
          <t>공식 데이터시트 추가 모델</t>
        </is>
      </c>
      <c r="U74" s="51" t="inlineStr">
        <is>
          <t>32x400G QSFP-DD + 2xSFP+</t>
        </is>
      </c>
      <c r="V74" s="51" t="inlineStr">
        <is>
          <t>12.8 (25.6) Tbps</t>
        </is>
      </c>
      <c r="W74" s="51" t="inlineStr">
        <is>
          <t>5.3 Bpps</t>
        </is>
      </c>
      <c r="X74" s="51" t="inlineStr">
        <is>
          <t>900 ns</t>
        </is>
      </c>
      <c r="Y74" s="51" t="inlineStr">
        <is>
          <t>Quad-core x86</t>
        </is>
      </c>
      <c r="Z74" s="51" t="inlineStr">
        <is>
          <t>16 GB</t>
        </is>
      </c>
      <c r="AA74" s="51" t="inlineStr">
        <is>
          <t>16 GB</t>
        </is>
      </c>
      <c r="AB74" s="51" t="inlineStr">
        <is>
          <t>132 MB</t>
        </is>
      </c>
      <c r="AC74" s="51" t="inlineStr">
        <is>
          <t>Yes; 2 (1+1)</t>
        </is>
      </c>
      <c r="AD74" s="51" t="inlineStr">
        <is>
          <t>Yes; 3 (N+1)</t>
        </is>
      </c>
      <c r="AE74" s="51" t="inlineStr">
        <is>
          <t>No — front-to-rear only</t>
        </is>
      </c>
    </row>
    <row r="75" ht="72" customHeight="1">
      <c r="A75" s="22" t="n">
        <v>70</v>
      </c>
      <c r="B75" s="18" t="inlineStr">
        <is>
          <t>DCS</t>
        </is>
      </c>
      <c r="C75" s="23" t="inlineStr">
        <is>
          <t>7050X4</t>
        </is>
      </c>
      <c r="D75" s="23" t="inlineStr">
        <is>
          <t>7050SDX4-48D8</t>
        </is>
      </c>
      <c r="E75" s="23" t="inlineStr">
        <is>
          <t>DCS-7050SDX4-48D8 계열</t>
        </is>
      </c>
      <c r="F75" s="23" t="inlineStr">
        <is>
          <t>고정형</t>
        </is>
      </c>
      <c r="G75" s="23" t="inlineStr">
        <is>
          <t>100/200/400G DC leaf-spine; 일부 AI workload</t>
        </is>
      </c>
      <c r="H75" s="31" t="inlineStr">
        <is>
          <t>적합</t>
        </is>
      </c>
      <c r="I75" s="20" t="inlineStr">
        <is>
          <t>주력</t>
        </is>
      </c>
      <c r="J75" s="22" t="inlineStr">
        <is>
          <t>-</t>
        </is>
      </c>
      <c r="K75" s="23" t="inlineStr">
        <is>
          <t>48x100G SFP-DD + 8x400G QSFP-DD</t>
        </is>
      </c>
      <c r="L75" s="23" t="inlineStr">
        <is>
          <t>8.0 Tbps</t>
        </is>
      </c>
      <c r="M75" s="23" t="inlineStr">
        <is>
          <t>900 ns</t>
        </is>
      </c>
      <c r="N75" s="23" t="inlineStr">
        <is>
          <t>1RU</t>
        </is>
      </c>
      <c r="O75" s="23" t="inlineStr">
        <is>
          <t>-</t>
        </is>
      </c>
      <c r="P75" s="23" t="inlineStr">
        <is>
          <t>-</t>
        </is>
      </c>
      <c r="Q75" s="23" t="inlineStr">
        <is>
          <t>현행 공식 플랫폼/데이터시트 등재</t>
        </is>
      </c>
      <c r="R75" s="24" t="inlineStr">
        <is>
          <t>https://www.arista.com/en/products/platforms</t>
        </is>
      </c>
      <c r="S75" s="24" t="inlineStr">
        <is>
          <t>https://www.arista.com/assets/data/pdf/Datasheets/7050X4-Datasheet.pdf</t>
        </is>
      </c>
      <c r="T75" s="23" t="inlineStr"/>
      <c r="U75" s="53" t="inlineStr">
        <is>
          <t>48x100G SFP-DD + 8x400G QSFP-DD</t>
        </is>
      </c>
      <c r="V75" s="53" t="inlineStr">
        <is>
          <t>8.0 (16.0) Tbps</t>
        </is>
      </c>
      <c r="W75" s="53" t="inlineStr">
        <is>
          <t>2.7 Bpps</t>
        </is>
      </c>
      <c r="X75" s="53" t="inlineStr">
        <is>
          <t>900 ns</t>
        </is>
      </c>
      <c r="Y75" s="53" t="inlineStr">
        <is>
          <t>Quad-core x86</t>
        </is>
      </c>
      <c r="Z75" s="53" t="inlineStr">
        <is>
          <t>16 GB</t>
        </is>
      </c>
      <c r="AA75" s="53" t="inlineStr">
        <is>
          <t>16 GB</t>
        </is>
      </c>
      <c r="AB75" s="53" t="inlineStr">
        <is>
          <t>82 MB shared</t>
        </is>
      </c>
      <c r="AC75" s="53" t="inlineStr">
        <is>
          <t>Yes; 2 (1+1)</t>
        </is>
      </c>
      <c r="AD75" s="53" t="inlineStr">
        <is>
          <t>Yes; 4 (N+1)</t>
        </is>
      </c>
      <c r="AE75" s="53" t="inlineStr">
        <is>
          <t>Yes — front-to-rear / rear-to-front</t>
        </is>
      </c>
    </row>
    <row r="76" ht="72" customHeight="1">
      <c r="A76" s="17" t="n">
        <v>71</v>
      </c>
      <c r="B76" s="18" t="inlineStr">
        <is>
          <t>DCS</t>
        </is>
      </c>
      <c r="C76" s="19" t="inlineStr">
        <is>
          <t>7050X4</t>
        </is>
      </c>
      <c r="D76" s="19" t="inlineStr">
        <is>
          <t>7050SPX4-48D8</t>
        </is>
      </c>
      <c r="E76" s="19" t="inlineStr">
        <is>
          <t>DCS-7050SPX4-48D8 계열</t>
        </is>
      </c>
      <c r="F76" s="19" t="inlineStr">
        <is>
          <t>고정형</t>
        </is>
      </c>
      <c r="G76" s="19" t="inlineStr">
        <is>
          <t>100/200/400G DC leaf-spine; 일부 AI workload</t>
        </is>
      </c>
      <c r="H76" s="31" t="inlineStr">
        <is>
          <t>적합</t>
        </is>
      </c>
      <c r="I76" s="20" t="inlineStr">
        <is>
          <t>주력</t>
        </is>
      </c>
      <c r="J76" s="17" t="inlineStr">
        <is>
          <t>-</t>
        </is>
      </c>
      <c r="K76" s="19" t="inlineStr">
        <is>
          <t>48x100G DSFP + 8x400G QSFP-DD</t>
        </is>
      </c>
      <c r="L76" s="19" t="inlineStr">
        <is>
          <t>8.0 Tbps</t>
        </is>
      </c>
      <c r="M76" s="19" t="inlineStr">
        <is>
          <t>900 ns</t>
        </is>
      </c>
      <c r="N76" s="19" t="inlineStr">
        <is>
          <t>1RU</t>
        </is>
      </c>
      <c r="O76" s="19" t="inlineStr">
        <is>
          <t>-</t>
        </is>
      </c>
      <c r="P76" s="19" t="inlineStr">
        <is>
          <t>-</t>
        </is>
      </c>
      <c r="Q76" s="19" t="inlineStr">
        <is>
          <t>현행 공식 플랫폼/데이터시트 등재</t>
        </is>
      </c>
      <c r="R76" s="21" t="inlineStr">
        <is>
          <t>https://www.arista.com/en/products/platforms</t>
        </is>
      </c>
      <c r="S76" s="21" t="inlineStr">
        <is>
          <t>https://www.arista.com/assets/data/pdf/Datasheets/7050X4-Datasheet.pdf</t>
        </is>
      </c>
      <c r="T76" s="19" t="inlineStr"/>
      <c r="U76" s="51" t="inlineStr">
        <is>
          <t>48x100G DSFP + 8x400G QSFP-DD</t>
        </is>
      </c>
      <c r="V76" s="51" t="inlineStr">
        <is>
          <t>8.0 (16.0) Tbps</t>
        </is>
      </c>
      <c r="W76" s="51" t="inlineStr">
        <is>
          <t>2.7 Bpps</t>
        </is>
      </c>
      <c r="X76" s="51" t="inlineStr">
        <is>
          <t>900 ns</t>
        </is>
      </c>
      <c r="Y76" s="51" t="inlineStr">
        <is>
          <t>Quad-core x86</t>
        </is>
      </c>
      <c r="Z76" s="51" t="inlineStr">
        <is>
          <t>16 GB</t>
        </is>
      </c>
      <c r="AA76" s="51" t="inlineStr">
        <is>
          <t>16 GB</t>
        </is>
      </c>
      <c r="AB76" s="51" t="inlineStr">
        <is>
          <t>82 MB shared</t>
        </is>
      </c>
      <c r="AC76" s="51" t="inlineStr">
        <is>
          <t>Yes; 2 (1+1)</t>
        </is>
      </c>
      <c r="AD76" s="51" t="inlineStr">
        <is>
          <t>Yes; 4 (N+1)</t>
        </is>
      </c>
      <c r="AE76" s="51" t="inlineStr">
        <is>
          <t>Yes — front-to-rear / rear-to-front</t>
        </is>
      </c>
    </row>
    <row r="77" ht="72" customHeight="1">
      <c r="A77" s="22" t="n">
        <v>72</v>
      </c>
      <c r="B77" s="18" t="inlineStr">
        <is>
          <t>DCS</t>
        </is>
      </c>
      <c r="C77" s="23" t="inlineStr">
        <is>
          <t>7050X4</t>
        </is>
      </c>
      <c r="D77" s="23" t="inlineStr">
        <is>
          <t>7050CX4M-48D8</t>
        </is>
      </c>
      <c r="E77" s="23" t="inlineStr">
        <is>
          <t>DCS-7050CX4M-48D8 계열</t>
        </is>
      </c>
      <c r="F77" s="23" t="inlineStr">
        <is>
          <t>고정형</t>
        </is>
      </c>
      <c r="G77" s="23" t="inlineStr">
        <is>
          <t>100/200/400G DC leaf-spine; 일부 AI workload</t>
        </is>
      </c>
      <c r="H77" s="31" t="inlineStr">
        <is>
          <t>적합</t>
        </is>
      </c>
      <c r="I77" s="20" t="inlineStr">
        <is>
          <t>주력</t>
        </is>
      </c>
      <c r="J77" s="22" t="inlineStr">
        <is>
          <t>-</t>
        </is>
      </c>
      <c r="K77" s="23" t="inlineStr">
        <is>
          <t>48x100G QSFP28 + 8x400G QSFP-DD</t>
        </is>
      </c>
      <c r="L77" s="23" t="inlineStr">
        <is>
          <t>8.0 Tbps</t>
        </is>
      </c>
      <c r="M77" s="23" t="inlineStr">
        <is>
          <t>900 ns</t>
        </is>
      </c>
      <c r="N77" s="23" t="inlineStr">
        <is>
          <t>2RU</t>
        </is>
      </c>
      <c r="O77" s="23" t="inlineStr">
        <is>
          <t>-</t>
        </is>
      </c>
      <c r="P77" s="23" t="inlineStr">
        <is>
          <t>MACsec</t>
        </is>
      </c>
      <c r="Q77" s="23" t="inlineStr">
        <is>
          <t>현행 공식 플랫폼/데이터시트 등재</t>
        </is>
      </c>
      <c r="R77" s="24" t="inlineStr">
        <is>
          <t>https://www.arista.com/en/products/platforms</t>
        </is>
      </c>
      <c r="S77" s="24" t="inlineStr">
        <is>
          <t>https://www.arista.com/assets/data/pdf/Datasheets/7050X4-Datasheet.pdf</t>
        </is>
      </c>
      <c r="T77" s="23" t="inlineStr"/>
      <c r="U77" s="53" t="inlineStr">
        <is>
          <t>48x100G QSFP28 + 8x400G QSFP-DD</t>
        </is>
      </c>
      <c r="V77" s="53" t="inlineStr">
        <is>
          <t>8.0 (16.0) Tbps</t>
        </is>
      </c>
      <c r="W77" s="53" t="inlineStr">
        <is>
          <t>2.7 Bpps</t>
        </is>
      </c>
      <c r="X77" s="53" t="inlineStr">
        <is>
          <t>900 ns</t>
        </is>
      </c>
      <c r="Y77" s="53" t="inlineStr">
        <is>
          <t>Quad-core x86</t>
        </is>
      </c>
      <c r="Z77" s="53" t="inlineStr">
        <is>
          <t>16 GB</t>
        </is>
      </c>
      <c r="AA77" s="53" t="inlineStr">
        <is>
          <t>16 GB</t>
        </is>
      </c>
      <c r="AB77" s="53" t="inlineStr">
        <is>
          <t>82 MB shared</t>
        </is>
      </c>
      <c r="AC77" s="53" t="inlineStr">
        <is>
          <t>Yes; 2 (1+1)</t>
        </is>
      </c>
      <c r="AD77" s="53" t="inlineStr">
        <is>
          <t>Yes; 4 (N+1)</t>
        </is>
      </c>
      <c r="AE77" s="53" t="inlineStr">
        <is>
          <t>Conditional — reverse airflow derated</t>
        </is>
      </c>
    </row>
    <row r="78" ht="72" customHeight="1">
      <c r="A78" s="17" t="n">
        <v>73</v>
      </c>
      <c r="B78" s="18" t="inlineStr">
        <is>
          <t>DCS</t>
        </is>
      </c>
      <c r="C78" s="19" t="inlineStr">
        <is>
          <t>7050X4</t>
        </is>
      </c>
      <c r="D78" s="19" t="inlineStr">
        <is>
          <t>7050CX4-24D8</t>
        </is>
      </c>
      <c r="E78" s="19" t="inlineStr">
        <is>
          <t>DCS-7050CX4-24D8 계열</t>
        </is>
      </c>
      <c r="F78" s="19" t="inlineStr">
        <is>
          <t>고정형</t>
        </is>
      </c>
      <c r="G78" s="19" t="inlineStr">
        <is>
          <t>100/200/400G DC leaf-spine; 일부 AI workload</t>
        </is>
      </c>
      <c r="H78" s="31" t="inlineStr">
        <is>
          <t>적합</t>
        </is>
      </c>
      <c r="I78" s="20" t="inlineStr">
        <is>
          <t>주력</t>
        </is>
      </c>
      <c r="J78" s="17" t="inlineStr">
        <is>
          <t>-</t>
        </is>
      </c>
      <c r="K78" s="19" t="inlineStr">
        <is>
          <t>24x200G QSFP56 + 8x400G QSFP-DD</t>
        </is>
      </c>
      <c r="L78" s="19" t="inlineStr">
        <is>
          <t>8.0 Tbps</t>
        </is>
      </c>
      <c r="M78" s="19" t="inlineStr">
        <is>
          <t>900 ns</t>
        </is>
      </c>
      <c r="N78" s="19" t="inlineStr">
        <is>
          <t>1RU</t>
        </is>
      </c>
      <c r="O78" s="19" t="inlineStr">
        <is>
          <t>-</t>
        </is>
      </c>
      <c r="P78" s="19" t="inlineStr">
        <is>
          <t>-</t>
        </is>
      </c>
      <c r="Q78" s="19" t="inlineStr">
        <is>
          <t>현행 공식 플랫폼/데이터시트 등재</t>
        </is>
      </c>
      <c r="R78" s="21" t="inlineStr">
        <is>
          <t>https://www.arista.com/en/products/platforms</t>
        </is>
      </c>
      <c r="S78" s="21" t="inlineStr">
        <is>
          <t>https://www.arista.com/assets/data/pdf/Datasheets/7050X4-Datasheet.pdf</t>
        </is>
      </c>
      <c r="T78" s="19" t="inlineStr"/>
      <c r="U78" s="51" t="inlineStr">
        <is>
          <t>24x200G QSFP56 + 8x400G QSFP-DD</t>
        </is>
      </c>
      <c r="V78" s="51" t="inlineStr">
        <is>
          <t>8.0 (16.0) Tbps</t>
        </is>
      </c>
      <c r="W78" s="51" t="inlineStr">
        <is>
          <t>2.7 Bpps</t>
        </is>
      </c>
      <c r="X78" s="51" t="inlineStr">
        <is>
          <t>900 ns</t>
        </is>
      </c>
      <c r="Y78" s="51" t="inlineStr">
        <is>
          <t>Quad-core x86</t>
        </is>
      </c>
      <c r="Z78" s="51" t="inlineStr">
        <is>
          <t>16 GB</t>
        </is>
      </c>
      <c r="AA78" s="51" t="inlineStr">
        <is>
          <t>16 GB</t>
        </is>
      </c>
      <c r="AB78" s="51" t="inlineStr">
        <is>
          <t>82 MB shared</t>
        </is>
      </c>
      <c r="AC78" s="51" t="inlineStr">
        <is>
          <t>Yes; 2 (1+1)</t>
        </is>
      </c>
      <c r="AD78" s="51" t="inlineStr">
        <is>
          <t>Yes; 4 (N+1)</t>
        </is>
      </c>
      <c r="AE78" s="51" t="inlineStr">
        <is>
          <t>Yes — front-to-rear / rear-to-front</t>
        </is>
      </c>
    </row>
    <row r="79" ht="72" customHeight="1">
      <c r="A79" s="22" t="n">
        <v>74</v>
      </c>
      <c r="B79" s="18" t="inlineStr">
        <is>
          <t>DCS</t>
        </is>
      </c>
      <c r="C79" s="23" t="inlineStr">
        <is>
          <t>7050X4</t>
        </is>
      </c>
      <c r="D79" s="23" t="inlineStr">
        <is>
          <t>7050X4-48Y-4DF</t>
        </is>
      </c>
      <c r="E79" s="23" t="inlineStr">
        <is>
          <t>DCS-7050X4-48Y-4DF 계열</t>
        </is>
      </c>
      <c r="F79" s="23" t="inlineStr">
        <is>
          <t>고정형</t>
        </is>
      </c>
      <c r="G79" s="23" t="inlineStr">
        <is>
          <t>100/200/400G DC leaf-spine; 일부 AI workload</t>
        </is>
      </c>
      <c r="H79" s="31" t="inlineStr">
        <is>
          <t>적합</t>
        </is>
      </c>
      <c r="I79" s="20" t="inlineStr">
        <is>
          <t>주력</t>
        </is>
      </c>
      <c r="J79" s="22" t="inlineStr">
        <is>
          <t>-</t>
        </is>
      </c>
      <c r="K79" s="23" t="inlineStr">
        <is>
          <t>48x25G SFP25 + 4x400G QSFP-DD</t>
        </is>
      </c>
      <c r="L79" s="23" t="inlineStr">
        <is>
          <t>2.8 Tbps</t>
        </is>
      </c>
      <c r="M79" s="23" t="inlineStr">
        <is>
          <t>900 ns</t>
        </is>
      </c>
      <c r="N79" s="23" t="inlineStr">
        <is>
          <t>1RU</t>
        </is>
      </c>
      <c r="O79" s="23" t="inlineStr">
        <is>
          <t>-</t>
        </is>
      </c>
      <c r="P79" s="23" t="inlineStr">
        <is>
          <t>-</t>
        </is>
      </c>
      <c r="Q79" s="23" t="inlineStr">
        <is>
          <t>현행 공식 플랫폼/데이터시트 등재</t>
        </is>
      </c>
      <c r="R79" s="24" t="inlineStr">
        <is>
          <t>https://www.arista.com/en/products/platforms</t>
        </is>
      </c>
      <c r="S79" s="24" t="inlineStr">
        <is>
          <t>https://www.arista.com/assets/data/pdf/Datasheets/7050X4-Datasheet.pdf</t>
        </is>
      </c>
      <c r="T79" s="23" t="inlineStr">
        <is>
          <t>공식 데이터시트 추가 모델</t>
        </is>
      </c>
      <c r="U79" s="53" t="inlineStr">
        <is>
          <t>48x25G SFP28 + 4x400G QSFP-DD</t>
        </is>
      </c>
      <c r="V79" s="53" t="inlineStr">
        <is>
          <t>2.8 (5.6) Tbps</t>
        </is>
      </c>
      <c r="W79" s="53" t="inlineStr">
        <is>
          <t>2.7 Bpps</t>
        </is>
      </c>
      <c r="X79" s="53" t="inlineStr">
        <is>
          <t>900 ns</t>
        </is>
      </c>
      <c r="Y79" s="53" t="inlineStr">
        <is>
          <t>Quad-core x86</t>
        </is>
      </c>
      <c r="Z79" s="53" t="inlineStr">
        <is>
          <t>16 GB</t>
        </is>
      </c>
      <c r="AA79" s="53" t="inlineStr">
        <is>
          <t>32 GB</t>
        </is>
      </c>
      <c r="AB79" s="53" t="inlineStr">
        <is>
          <t>40 MB</t>
        </is>
      </c>
      <c r="AC79" s="53" t="inlineStr">
        <is>
          <t>Yes; 2 (1+1)</t>
        </is>
      </c>
      <c r="AD79" s="53" t="inlineStr">
        <is>
          <t>Yes; 3 (N+1)</t>
        </is>
      </c>
      <c r="AE79" s="53" t="inlineStr">
        <is>
          <t>Yes — front-to-rear / rear-to-front</t>
        </is>
      </c>
    </row>
    <row r="80" ht="72" customHeight="1">
      <c r="A80" s="25" t="n">
        <v>75</v>
      </c>
      <c r="B80" s="26" t="inlineStr">
        <is>
          <t>DCS</t>
        </is>
      </c>
      <c r="C80" s="27" t="inlineStr">
        <is>
          <t>7050X3</t>
        </is>
      </c>
      <c r="D80" s="27" t="inlineStr">
        <is>
          <t>7050TX3-48C8</t>
        </is>
      </c>
      <c r="E80" s="27" t="inlineStr">
        <is>
          <t>DCS-7050TX3-48C8 계열</t>
        </is>
      </c>
      <c r="F80" s="27" t="inlineStr">
        <is>
          <t>고정형</t>
        </is>
      </c>
      <c r="G80" s="27" t="inlineStr">
        <is>
          <t>DC leaf/spine / server access</t>
        </is>
      </c>
      <c r="H80" s="25" t="inlineStr">
        <is>
          <t>-</t>
        </is>
      </c>
      <c r="I80" s="29" t="inlineStr">
        <is>
          <t>주력</t>
        </is>
      </c>
      <c r="J80" s="25" t="inlineStr">
        <is>
          <t>-</t>
        </is>
      </c>
      <c r="K80" s="27" t="inlineStr">
        <is>
          <t>48x1/10G BASE-T + 8x100G</t>
        </is>
      </c>
      <c r="L80" s="27" t="inlineStr">
        <is>
          <t>2.56 Tbps</t>
        </is>
      </c>
      <c r="M80" s="27" t="inlineStr">
        <is>
          <t>3 us</t>
        </is>
      </c>
      <c r="N80" s="27" t="inlineStr">
        <is>
          <t>1RU</t>
        </is>
      </c>
      <c r="O80" s="27" t="inlineStr">
        <is>
          <t>-</t>
        </is>
      </c>
      <c r="P80" s="27" t="inlineStr">
        <is>
          <t>-</t>
        </is>
      </c>
      <c r="Q80" s="27" t="inlineStr">
        <is>
          <t>현행 공식 플랫폼/데이터시트 등재</t>
        </is>
      </c>
      <c r="R80" s="30" t="inlineStr">
        <is>
          <t>https://www.arista.com/en/products/platforms</t>
        </is>
      </c>
      <c r="S80" s="30" t="inlineStr">
        <is>
          <t>https://www.arista.com/assets/data/pdf/Datasheets/7050X3-Datasheet.pdf</t>
        </is>
      </c>
      <c r="T80" s="27" t="inlineStr"/>
      <c r="U80" s="54" t="inlineStr">
        <is>
          <t>48x1/2.5/5/10G-T + 8x100G</t>
        </is>
      </c>
      <c r="V80" s="54" t="inlineStr">
        <is>
          <t>1.28 (2.56) Tbps</t>
        </is>
      </c>
      <c r="W80" s="54" t="inlineStr">
        <is>
          <t>1 Bpps</t>
        </is>
      </c>
      <c r="X80" s="54" t="inlineStr">
        <is>
          <t>3 µs</t>
        </is>
      </c>
      <c r="Y80" s="54" t="inlineStr">
        <is>
          <t>Quad-core x86</t>
        </is>
      </c>
      <c r="Z80" s="54" t="inlineStr">
        <is>
          <t>8 GB</t>
        </is>
      </c>
      <c r="AA80" s="54" t="inlineStr">
        <is>
          <t>8 GB</t>
        </is>
      </c>
      <c r="AB80" s="54" t="inlineStr">
        <is>
          <t>32 MB</t>
        </is>
      </c>
      <c r="AC80" s="54" t="inlineStr">
        <is>
          <t>Yes; 2 (1+1)</t>
        </is>
      </c>
      <c r="AD80" s="54" t="inlineStr">
        <is>
          <t>Yes; 2 (1+1)</t>
        </is>
      </c>
      <c r="AE80" s="54" t="inlineStr">
        <is>
          <t>Yes — front-to-rear / rear-to-front</t>
        </is>
      </c>
    </row>
    <row r="81" ht="72" customHeight="1">
      <c r="A81" s="22" t="n">
        <v>76</v>
      </c>
      <c r="B81" s="18" t="inlineStr">
        <is>
          <t>DCS</t>
        </is>
      </c>
      <c r="C81" s="23" t="inlineStr">
        <is>
          <t>7050X3</t>
        </is>
      </c>
      <c r="D81" s="23" t="inlineStr">
        <is>
          <t>7050SX3-48C8</t>
        </is>
      </c>
      <c r="E81" s="23" t="inlineStr">
        <is>
          <t>DCS-7050SX3-48C8 계열</t>
        </is>
      </c>
      <c r="F81" s="23" t="inlineStr">
        <is>
          <t>고정형</t>
        </is>
      </c>
      <c r="G81" s="23" t="inlineStr">
        <is>
          <t>DC leaf/spine / server access</t>
        </is>
      </c>
      <c r="H81" s="22" t="inlineStr">
        <is>
          <t>-</t>
        </is>
      </c>
      <c r="I81" s="20" t="inlineStr">
        <is>
          <t>주력</t>
        </is>
      </c>
      <c r="J81" s="22" t="inlineStr">
        <is>
          <t>-</t>
        </is>
      </c>
      <c r="K81" s="23" t="inlineStr">
        <is>
          <t>48x1/10G SFP + 8x100G</t>
        </is>
      </c>
      <c r="L81" s="23" t="inlineStr">
        <is>
          <t>2.56 Tbps</t>
        </is>
      </c>
      <c r="M81" s="23" t="inlineStr">
        <is>
          <t>800 ns</t>
        </is>
      </c>
      <c r="N81" s="23" t="inlineStr">
        <is>
          <t>1RU</t>
        </is>
      </c>
      <c r="O81" s="23" t="inlineStr">
        <is>
          <t>-</t>
        </is>
      </c>
      <c r="P81" s="23" t="inlineStr">
        <is>
          <t>-</t>
        </is>
      </c>
      <c r="Q81" s="23" t="inlineStr">
        <is>
          <t>현행 공식 플랫폼/데이터시트 등재</t>
        </is>
      </c>
      <c r="R81" s="24" t="inlineStr">
        <is>
          <t>https://www.arista.com/en/products/platforms</t>
        </is>
      </c>
      <c r="S81" s="24" t="inlineStr">
        <is>
          <t>https://www.arista.com/assets/data/pdf/Datasheets/7050X3-Datasheet.pdf</t>
        </is>
      </c>
      <c r="T81" s="23" t="inlineStr"/>
      <c r="U81" s="53" t="inlineStr">
        <is>
          <t>48x1/10G SFP+ + 8x100G</t>
        </is>
      </c>
      <c r="V81" s="53" t="inlineStr">
        <is>
          <t>1.28 (2.56) Tbps</t>
        </is>
      </c>
      <c r="W81" s="53" t="inlineStr">
        <is>
          <t>1 Bpps</t>
        </is>
      </c>
      <c r="X81" s="53" t="inlineStr">
        <is>
          <t>800 ns</t>
        </is>
      </c>
      <c r="Y81" s="53" t="inlineStr">
        <is>
          <t>Quad-core x86</t>
        </is>
      </c>
      <c r="Z81" s="53" t="inlineStr">
        <is>
          <t>8 GB</t>
        </is>
      </c>
      <c r="AA81" s="53" t="inlineStr">
        <is>
          <t>8 GB</t>
        </is>
      </c>
      <c r="AB81" s="53" t="inlineStr">
        <is>
          <t>32 MB</t>
        </is>
      </c>
      <c r="AC81" s="53" t="inlineStr">
        <is>
          <t>Yes; 2 (1+1)</t>
        </is>
      </c>
      <c r="AD81" s="53" t="inlineStr">
        <is>
          <t>Yes; 2 (1+1)</t>
        </is>
      </c>
      <c r="AE81" s="53" t="inlineStr">
        <is>
          <t>Yes — front-to-rear / rear-to-front</t>
        </is>
      </c>
    </row>
    <row r="82" ht="72" customHeight="1">
      <c r="A82" s="17" t="n">
        <v>77</v>
      </c>
      <c r="B82" s="18" t="inlineStr">
        <is>
          <t>DCS</t>
        </is>
      </c>
      <c r="C82" s="19" t="inlineStr">
        <is>
          <t>7050X3</t>
        </is>
      </c>
      <c r="D82" s="19" t="inlineStr">
        <is>
          <t>7050SX3-48YC8</t>
        </is>
      </c>
      <c r="E82" s="19" t="inlineStr">
        <is>
          <t>DCS-7050SX3-48YC8 계열</t>
        </is>
      </c>
      <c r="F82" s="19" t="inlineStr">
        <is>
          <t>고정형</t>
        </is>
      </c>
      <c r="G82" s="19" t="inlineStr">
        <is>
          <t>DC leaf/spine / server access</t>
        </is>
      </c>
      <c r="H82" s="17" t="inlineStr">
        <is>
          <t>-</t>
        </is>
      </c>
      <c r="I82" s="20" t="inlineStr">
        <is>
          <t>주력</t>
        </is>
      </c>
      <c r="J82" s="17" t="inlineStr">
        <is>
          <t>-</t>
        </is>
      </c>
      <c r="K82" s="19" t="inlineStr">
        <is>
          <t>48x1/10/25G + 8x100G</t>
        </is>
      </c>
      <c r="L82" s="19" t="inlineStr">
        <is>
          <t>4.0 Tbps</t>
        </is>
      </c>
      <c r="M82" s="19" t="inlineStr">
        <is>
          <t>800 ns</t>
        </is>
      </c>
      <c r="N82" s="19" t="inlineStr">
        <is>
          <t>1RU</t>
        </is>
      </c>
      <c r="O82" s="19" t="inlineStr">
        <is>
          <t>-</t>
        </is>
      </c>
      <c r="P82" s="19" t="inlineStr">
        <is>
          <t>-</t>
        </is>
      </c>
      <c r="Q82" s="19" t="inlineStr">
        <is>
          <t>현행 공식 플랫폼/데이터시트 등재</t>
        </is>
      </c>
      <c r="R82" s="21" t="inlineStr">
        <is>
          <t>https://www.arista.com/en/products/platforms</t>
        </is>
      </c>
      <c r="S82" s="21" t="inlineStr">
        <is>
          <t>https://www.arista.com/assets/data/pdf/Datasheets/7050X3-Datasheet.pdf</t>
        </is>
      </c>
      <c r="T82" s="19" t="inlineStr"/>
      <c r="U82" s="51" t="inlineStr">
        <is>
          <t>48x1/10/25G SFP28 + 8x100G</t>
        </is>
      </c>
      <c r="V82" s="51" t="inlineStr">
        <is>
          <t>2.0 (4.0) Tbps</t>
        </is>
      </c>
      <c r="W82" s="51" t="inlineStr">
        <is>
          <t>1 Bpps</t>
        </is>
      </c>
      <c r="X82" s="51" t="inlineStr">
        <is>
          <t>800 ns</t>
        </is>
      </c>
      <c r="Y82" s="51" t="inlineStr">
        <is>
          <t>Quad-core x86</t>
        </is>
      </c>
      <c r="Z82" s="51" t="inlineStr">
        <is>
          <t>8 GB</t>
        </is>
      </c>
      <c r="AA82" s="51" t="inlineStr">
        <is>
          <t>8 GB</t>
        </is>
      </c>
      <c r="AB82" s="51" t="inlineStr">
        <is>
          <t>32 MB</t>
        </is>
      </c>
      <c r="AC82" s="51" t="inlineStr">
        <is>
          <t>Yes; 2 (1+1)</t>
        </is>
      </c>
      <c r="AD82" s="51" t="inlineStr">
        <is>
          <t>Yes; 2 (1+1)</t>
        </is>
      </c>
      <c r="AE82" s="51" t="inlineStr">
        <is>
          <t>Yes — front-to-rear / rear-to-front</t>
        </is>
      </c>
    </row>
    <row r="83" ht="72" customHeight="1">
      <c r="A83" s="22" t="n">
        <v>78</v>
      </c>
      <c r="B83" s="18" t="inlineStr">
        <is>
          <t>DCS</t>
        </is>
      </c>
      <c r="C83" s="23" t="inlineStr">
        <is>
          <t>7050X3</t>
        </is>
      </c>
      <c r="D83" s="23" t="inlineStr">
        <is>
          <t>7050SX3-48YC12</t>
        </is>
      </c>
      <c r="E83" s="23" t="inlineStr">
        <is>
          <t>DCS-7050SX3-48YC12 계열</t>
        </is>
      </c>
      <c r="F83" s="23" t="inlineStr">
        <is>
          <t>고정형</t>
        </is>
      </c>
      <c r="G83" s="23" t="inlineStr">
        <is>
          <t>DC leaf/spine / server access</t>
        </is>
      </c>
      <c r="H83" s="22" t="inlineStr">
        <is>
          <t>-</t>
        </is>
      </c>
      <c r="I83" s="20" t="inlineStr">
        <is>
          <t>주력</t>
        </is>
      </c>
      <c r="J83" s="22" t="inlineStr">
        <is>
          <t>-</t>
        </is>
      </c>
      <c r="K83" s="23" t="inlineStr">
        <is>
          <t>48x1/10/25G + 12x100G</t>
        </is>
      </c>
      <c r="L83" s="23" t="inlineStr">
        <is>
          <t>4.8 Tbps</t>
        </is>
      </c>
      <c r="M83" s="23" t="inlineStr">
        <is>
          <t>800 ns</t>
        </is>
      </c>
      <c r="N83" s="23" t="inlineStr">
        <is>
          <t>1RU</t>
        </is>
      </c>
      <c r="O83" s="23" t="inlineStr">
        <is>
          <t>-</t>
        </is>
      </c>
      <c r="P83" s="23" t="inlineStr">
        <is>
          <t>-</t>
        </is>
      </c>
      <c r="Q83" s="23" t="inlineStr">
        <is>
          <t>현행 공식 플랫폼/데이터시트 등재</t>
        </is>
      </c>
      <c r="R83" s="24" t="inlineStr">
        <is>
          <t>https://www.arista.com/en/products/platforms</t>
        </is>
      </c>
      <c r="S83" s="24" t="inlineStr">
        <is>
          <t>https://www.arista.com/assets/data/pdf/Datasheets/7050X3-Datasheet.pdf</t>
        </is>
      </c>
      <c r="T83" s="23" t="inlineStr"/>
      <c r="U83" s="53" t="inlineStr">
        <is>
          <t>48x1/10/25G SFP28 + 12x100G</t>
        </is>
      </c>
      <c r="V83" s="53" t="inlineStr">
        <is>
          <t>2.4 (4.8) Tbps</t>
        </is>
      </c>
      <c r="W83" s="53" t="inlineStr">
        <is>
          <t>2 Bpps</t>
        </is>
      </c>
      <c r="X83" s="53" t="inlineStr">
        <is>
          <t>800 ns</t>
        </is>
      </c>
      <c r="Y83" s="53" t="inlineStr">
        <is>
          <t>Quad-core x86</t>
        </is>
      </c>
      <c r="Z83" s="53" t="inlineStr">
        <is>
          <t>8 GB</t>
        </is>
      </c>
      <c r="AA83" s="53" t="inlineStr">
        <is>
          <t>8 GB</t>
        </is>
      </c>
      <c r="AB83" s="53" t="inlineStr">
        <is>
          <t>32 MB</t>
        </is>
      </c>
      <c r="AC83" s="53" t="inlineStr">
        <is>
          <t>Yes; 2 (1+1)</t>
        </is>
      </c>
      <c r="AD83" s="53" t="inlineStr">
        <is>
          <t>Yes; 4 (N+1)</t>
        </is>
      </c>
      <c r="AE83" s="53" t="inlineStr">
        <is>
          <t>No — front-to-rear only</t>
        </is>
      </c>
    </row>
    <row r="84" ht="72" customHeight="1">
      <c r="A84" s="17" t="n">
        <v>79</v>
      </c>
      <c r="B84" s="18" t="inlineStr">
        <is>
          <t>DCS</t>
        </is>
      </c>
      <c r="C84" s="19" t="inlineStr">
        <is>
          <t>7050X3</t>
        </is>
      </c>
      <c r="D84" s="19" t="inlineStr">
        <is>
          <t>7050SX3-96YC8</t>
        </is>
      </c>
      <c r="E84" s="19" t="inlineStr">
        <is>
          <t>DCS-7050SX3-96YC8 계열</t>
        </is>
      </c>
      <c r="F84" s="19" t="inlineStr">
        <is>
          <t>고정형</t>
        </is>
      </c>
      <c r="G84" s="19" t="inlineStr">
        <is>
          <t>DC leaf/spine / server access</t>
        </is>
      </c>
      <c r="H84" s="17" t="inlineStr">
        <is>
          <t>-</t>
        </is>
      </c>
      <c r="I84" s="20" t="inlineStr">
        <is>
          <t>주력</t>
        </is>
      </c>
      <c r="J84" s="17" t="inlineStr">
        <is>
          <t>-</t>
        </is>
      </c>
      <c r="K84" s="19" t="inlineStr">
        <is>
          <t>96x1/10/25G + 8x100G</t>
        </is>
      </c>
      <c r="L84" s="19" t="inlineStr">
        <is>
          <t>6.4 Tbps</t>
        </is>
      </c>
      <c r="M84" s="19" t="inlineStr">
        <is>
          <t>800 ns</t>
        </is>
      </c>
      <c r="N84" s="19" t="inlineStr">
        <is>
          <t>2RU</t>
        </is>
      </c>
      <c r="O84" s="19" t="inlineStr">
        <is>
          <t>-</t>
        </is>
      </c>
      <c r="P84" s="19" t="inlineStr">
        <is>
          <t>-</t>
        </is>
      </c>
      <c r="Q84" s="19" t="inlineStr">
        <is>
          <t>현행 공식 플랫폼/데이터시트 등재</t>
        </is>
      </c>
      <c r="R84" s="21" t="inlineStr">
        <is>
          <t>https://www.arista.com/en/products/platforms</t>
        </is>
      </c>
      <c r="S84" s="21" t="inlineStr">
        <is>
          <t>https://www.arista.com/assets/data/pdf/Datasheets/7050X3-Datasheet.pdf</t>
        </is>
      </c>
      <c r="T84" s="19" t="inlineStr"/>
      <c r="U84" s="51" t="inlineStr">
        <is>
          <t>96x1/10/25G SFP28 + 8x100G + 2xSFP+</t>
        </is>
      </c>
      <c r="V84" s="51" t="inlineStr">
        <is>
          <t>3.2 (6.4) Tbps</t>
        </is>
      </c>
      <c r="W84" s="51" t="inlineStr">
        <is>
          <t>2 Bpps</t>
        </is>
      </c>
      <c r="X84" s="51" t="inlineStr">
        <is>
          <t>800 ns</t>
        </is>
      </c>
      <c r="Y84" s="51" t="inlineStr">
        <is>
          <t>Quad-core x86</t>
        </is>
      </c>
      <c r="Z84" s="51" t="inlineStr">
        <is>
          <t>8 GB</t>
        </is>
      </c>
      <c r="AA84" s="51" t="inlineStr">
        <is>
          <t>8 GB</t>
        </is>
      </c>
      <c r="AB84" s="51" t="inlineStr">
        <is>
          <t>32 MB</t>
        </is>
      </c>
      <c r="AC84" s="51" t="inlineStr">
        <is>
          <t>Yes; 2 (1+1)</t>
        </is>
      </c>
      <c r="AD84" s="51" t="inlineStr">
        <is>
          <t>Yes; 4 (N+1)</t>
        </is>
      </c>
      <c r="AE84" s="51" t="inlineStr">
        <is>
          <t>Yes — front-to-rear / rear-to-front</t>
        </is>
      </c>
    </row>
    <row r="85" ht="72" customHeight="1">
      <c r="A85" s="22" t="n">
        <v>80</v>
      </c>
      <c r="B85" s="18" t="inlineStr">
        <is>
          <t>DCS</t>
        </is>
      </c>
      <c r="C85" s="23" t="inlineStr">
        <is>
          <t>7050X3</t>
        </is>
      </c>
      <c r="D85" s="23" t="inlineStr">
        <is>
          <t>7050CX3-32S</t>
        </is>
      </c>
      <c r="E85" s="23" t="inlineStr">
        <is>
          <t>DCS-7050CX3-32S 계열</t>
        </is>
      </c>
      <c r="F85" s="23" t="inlineStr">
        <is>
          <t>고정형</t>
        </is>
      </c>
      <c r="G85" s="23" t="inlineStr">
        <is>
          <t>DC leaf/spine / server access</t>
        </is>
      </c>
      <c r="H85" s="22" t="inlineStr">
        <is>
          <t>-</t>
        </is>
      </c>
      <c r="I85" s="20" t="inlineStr">
        <is>
          <t>주력</t>
        </is>
      </c>
      <c r="J85" s="22" t="inlineStr">
        <is>
          <t>-</t>
        </is>
      </c>
      <c r="K85" s="23" t="inlineStr">
        <is>
          <t>32x100G</t>
        </is>
      </c>
      <c r="L85" s="23" t="inlineStr">
        <is>
          <t>6.4 Tbps</t>
        </is>
      </c>
      <c r="M85" s="23" t="inlineStr">
        <is>
          <t>800 ns</t>
        </is>
      </c>
      <c r="N85" s="23" t="inlineStr">
        <is>
          <t>1RU</t>
        </is>
      </c>
      <c r="O85" s="23" t="inlineStr">
        <is>
          <t>-</t>
        </is>
      </c>
      <c r="P85" s="23" t="inlineStr">
        <is>
          <t>-</t>
        </is>
      </c>
      <c r="Q85" s="23" t="inlineStr">
        <is>
          <t>현행 공식 플랫폼/데이터시트 등재</t>
        </is>
      </c>
      <c r="R85" s="24" t="inlineStr">
        <is>
          <t>https://www.arista.com/en/products/platforms</t>
        </is>
      </c>
      <c r="S85" s="24" t="inlineStr">
        <is>
          <t>https://www.arista.com/assets/data/pdf/Datasheets/7050X3-Datasheet.pdf</t>
        </is>
      </c>
      <c r="T85" s="23" t="inlineStr"/>
      <c r="U85" s="53" t="inlineStr">
        <is>
          <t>32x100G QSFP + 2xSFP+</t>
        </is>
      </c>
      <c r="V85" s="53" t="inlineStr">
        <is>
          <t>3.2 (6.4) Tbps</t>
        </is>
      </c>
      <c r="W85" s="53" t="inlineStr">
        <is>
          <t>2 Bpps</t>
        </is>
      </c>
      <c r="X85" s="53" t="inlineStr">
        <is>
          <t>800 ns</t>
        </is>
      </c>
      <c r="Y85" s="53" t="inlineStr">
        <is>
          <t>Quad-core x86</t>
        </is>
      </c>
      <c r="Z85" s="53" t="inlineStr">
        <is>
          <t>8 GB; optional 16 GB</t>
        </is>
      </c>
      <c r="AA85" s="53" t="inlineStr">
        <is>
          <t>8 GB; optional 32 GB</t>
        </is>
      </c>
      <c r="AB85" s="53" t="inlineStr">
        <is>
          <t>32 MB</t>
        </is>
      </c>
      <c r="AC85" s="53" t="inlineStr">
        <is>
          <t>Yes; 2 (1+1)</t>
        </is>
      </c>
      <c r="AD85" s="53" t="inlineStr">
        <is>
          <t>Yes; 4 (N+1)</t>
        </is>
      </c>
      <c r="AE85" s="53" t="inlineStr">
        <is>
          <t>Yes — front-to-rear / rear-to-front</t>
        </is>
      </c>
    </row>
    <row r="86" ht="72" customHeight="1">
      <c r="A86" s="17" t="n">
        <v>81</v>
      </c>
      <c r="B86" s="18" t="inlineStr">
        <is>
          <t>DCS</t>
        </is>
      </c>
      <c r="C86" s="19" t="inlineStr">
        <is>
          <t>7050X3</t>
        </is>
      </c>
      <c r="D86" s="19" t="inlineStr">
        <is>
          <t>7050CX3M-32S</t>
        </is>
      </c>
      <c r="E86" s="19" t="inlineStr">
        <is>
          <t>DCS-7050CX3M-32S 계열</t>
        </is>
      </c>
      <c r="F86" s="19" t="inlineStr">
        <is>
          <t>고정형</t>
        </is>
      </c>
      <c r="G86" s="19" t="inlineStr">
        <is>
          <t>DC leaf/spine / server access</t>
        </is>
      </c>
      <c r="H86" s="17" t="inlineStr">
        <is>
          <t>-</t>
        </is>
      </c>
      <c r="I86" s="20" t="inlineStr">
        <is>
          <t>주력</t>
        </is>
      </c>
      <c r="J86" s="17" t="inlineStr">
        <is>
          <t>-</t>
        </is>
      </c>
      <c r="K86" s="19" t="inlineStr">
        <is>
          <t>32x100G</t>
        </is>
      </c>
      <c r="L86" s="19" t="inlineStr">
        <is>
          <t>6.4 Tbps</t>
        </is>
      </c>
      <c r="M86" s="19" t="inlineStr">
        <is>
          <t>800 ns</t>
        </is>
      </c>
      <c r="N86" s="19" t="inlineStr">
        <is>
          <t>1RU</t>
        </is>
      </c>
      <c r="O86" s="19" t="inlineStr">
        <is>
          <t>-</t>
        </is>
      </c>
      <c r="P86" s="19" t="inlineStr">
        <is>
          <t>MACsec</t>
        </is>
      </c>
      <c r="Q86" s="19" t="inlineStr">
        <is>
          <t>현행 공식 플랫폼/데이터시트 등재</t>
        </is>
      </c>
      <c r="R86" s="21" t="inlineStr">
        <is>
          <t>https://www.arista.com/en/products/platforms</t>
        </is>
      </c>
      <c r="S86" s="21" t="inlineStr">
        <is>
          <t>https://www.arista.com/assets/data/pdf/Datasheets/7050X3-macsec-Datasheet.pdf</t>
        </is>
      </c>
      <c r="T86" s="19" t="inlineStr"/>
      <c r="U86" s="51" t="inlineStr">
        <is>
          <t>32x100G QSFP + 2xSFP+</t>
        </is>
      </c>
      <c r="V86" s="51" t="inlineStr">
        <is>
          <t>6.4 Tbps (datasheet notation)</t>
        </is>
      </c>
      <c r="W86" s="51" t="inlineStr">
        <is>
          <t>2 Bpps</t>
        </is>
      </c>
      <c r="X86" s="51" t="inlineStr">
        <is>
          <t>800 ns</t>
        </is>
      </c>
      <c r="Y86" s="51" t="inlineStr">
        <is>
          <t>Quad-core x86</t>
        </is>
      </c>
      <c r="Z86" s="51" t="inlineStr">
        <is>
          <t>8 GB</t>
        </is>
      </c>
      <c r="AA86" s="51" t="inlineStr">
        <is>
          <t>8 GB</t>
        </is>
      </c>
      <c r="AB86" s="51" t="inlineStr">
        <is>
          <t>32 MB</t>
        </is>
      </c>
      <c r="AC86" s="51" t="inlineStr">
        <is>
          <t>Yes; 2 (1+1)</t>
        </is>
      </c>
      <c r="AD86" s="51" t="inlineStr">
        <is>
          <t>Yes; 3 (2+1)</t>
        </is>
      </c>
      <c r="AE86" s="51" t="inlineStr">
        <is>
          <t>Yes — front-to-rear / rear-to-front</t>
        </is>
      </c>
    </row>
    <row r="87" ht="72" customHeight="1">
      <c r="A87" s="32" t="n">
        <v>82</v>
      </c>
      <c r="B87" s="26" t="inlineStr">
        <is>
          <t>DCS</t>
        </is>
      </c>
      <c r="C87" s="33" t="inlineStr">
        <is>
          <t>7050X</t>
        </is>
      </c>
      <c r="D87" s="33" t="inlineStr">
        <is>
          <t>7050QX-32S</t>
        </is>
      </c>
      <c r="E87" s="33" t="inlineStr">
        <is>
          <t>DCS-7050QX-32S 계열</t>
        </is>
      </c>
      <c r="F87" s="33" t="inlineStr">
        <is>
          <t>고정형</t>
        </is>
      </c>
      <c r="G87" s="33" t="inlineStr">
        <is>
          <t>10/40G virtualized cloud DC</t>
        </is>
      </c>
      <c r="H87" s="32" t="inlineStr">
        <is>
          <t>-</t>
        </is>
      </c>
      <c r="I87" s="29" t="inlineStr">
        <is>
          <t>주력</t>
        </is>
      </c>
      <c r="J87" s="32" t="inlineStr">
        <is>
          <t>-</t>
        </is>
      </c>
      <c r="K87" s="33" t="inlineStr">
        <is>
          <t>4x10G + 32x40G</t>
        </is>
      </c>
      <c r="L87" s="33" t="inlineStr">
        <is>
          <t>2.56 Tbps</t>
        </is>
      </c>
      <c r="M87" s="33" t="inlineStr">
        <is>
          <t>550~650 ns</t>
        </is>
      </c>
      <c r="N87" s="33" t="inlineStr">
        <is>
          <t>1RU</t>
        </is>
      </c>
      <c r="O87" s="33" t="inlineStr">
        <is>
          <t>-</t>
        </is>
      </c>
      <c r="P87" s="33" t="inlineStr">
        <is>
          <t>-</t>
        </is>
      </c>
      <c r="Q87" s="33" t="inlineStr">
        <is>
          <t>현행 공식 플랫폼/데이터시트 등재</t>
        </is>
      </c>
      <c r="R87" s="34" t="inlineStr">
        <is>
          <t>https://www.arista.com/en/products/platforms</t>
        </is>
      </c>
      <c r="S87" s="34" t="inlineStr">
        <is>
          <t>https://www.arista.com/assets/data/pdf/Datasheets/7050QX-32_32S_Datasheet_S.pdf</t>
        </is>
      </c>
      <c r="T87" s="33" t="inlineStr">
        <is>
          <t>이전 세대이지만 현행 공식 플랫폼 비교 페이지에 표시됨</t>
        </is>
      </c>
      <c r="U87" s="55" t="inlineStr">
        <is>
          <t>32x40G QSFP+ + 4xSFP+</t>
        </is>
      </c>
      <c r="V87" s="55" t="inlineStr">
        <is>
          <t>2.56 Tbps</t>
        </is>
      </c>
      <c r="W87" s="55" t="inlineStr">
        <is>
          <t>1.44 Bpps</t>
        </is>
      </c>
      <c r="X87" s="55" t="inlineStr">
        <is>
          <t>550 ns</t>
        </is>
      </c>
      <c r="Y87" s="55" t="inlineStr">
        <is>
          <t>Quad-core x86</t>
        </is>
      </c>
      <c r="Z87" s="55" t="inlineStr">
        <is>
          <t>4 GB</t>
        </is>
      </c>
      <c r="AA87" s="55" t="inlineStr">
        <is>
          <t>4 GB</t>
        </is>
      </c>
      <c r="AB87" s="55" t="inlineStr">
        <is>
          <t>12 MB</t>
        </is>
      </c>
      <c r="AC87" s="55" t="inlineStr">
        <is>
          <t>Yes; 2 (1+1)</t>
        </is>
      </c>
      <c r="AD87" s="55" t="inlineStr">
        <is>
          <t>Yes; 4 (N+1)</t>
        </is>
      </c>
      <c r="AE87" s="55" t="inlineStr">
        <is>
          <t>Yes — front-to-rear / rear-to-front</t>
        </is>
      </c>
    </row>
    <row r="88" ht="72" customHeight="1">
      <c r="A88" s="25" t="n">
        <v>83</v>
      </c>
      <c r="B88" s="26" t="inlineStr">
        <is>
          <t>DCS</t>
        </is>
      </c>
      <c r="C88" s="27" t="inlineStr">
        <is>
          <t>7020R4</t>
        </is>
      </c>
      <c r="D88" s="27" t="inlineStr">
        <is>
          <t>7020R4-48TX-4QC</t>
        </is>
      </c>
      <c r="E88" s="27" t="inlineStr">
        <is>
          <t>7020R4M-48TX-4QC</t>
        </is>
      </c>
      <c r="F88" s="27" t="inlineStr">
        <is>
          <t>고정형 deep-buffer</t>
        </is>
      </c>
      <c r="G88" s="27" t="inlineStr">
        <is>
          <t>Storage, edge compute, content delivery, access routing</t>
        </is>
      </c>
      <c r="H88" s="25" t="inlineStr">
        <is>
          <t>-</t>
        </is>
      </c>
      <c r="I88" s="29" t="inlineStr">
        <is>
          <t>주력</t>
        </is>
      </c>
      <c r="J88" s="25" t="inlineStr">
        <is>
          <t>-</t>
        </is>
      </c>
      <c r="K88" s="27" t="inlineStr">
        <is>
          <t>48x1/10G RJ45 + 4x100G</t>
        </is>
      </c>
      <c r="L88" s="27" t="inlineStr">
        <is>
          <t>880 Gbps (1.76 Tbps FDX)</t>
        </is>
      </c>
      <c r="M88" s="27" t="inlineStr">
        <is>
          <t>&lt;4 us</t>
        </is>
      </c>
      <c r="N88" s="27" t="inlineStr">
        <is>
          <t>1RU</t>
        </is>
      </c>
      <c r="O88" s="27" t="inlineStr">
        <is>
          <t>-</t>
        </is>
      </c>
      <c r="P88" s="27" t="inlineStr">
        <is>
          <t>TunnelSec</t>
        </is>
      </c>
      <c r="Q88" s="27" t="inlineStr">
        <is>
          <t>현행 공식 플랫폼/데이터시트 등재</t>
        </is>
      </c>
      <c r="R88" s="30" t="inlineStr">
        <is>
          <t>https://www.arista.com/en/products/platforms</t>
        </is>
      </c>
      <c r="S88" s="30" t="inlineStr">
        <is>
          <t>https://www.arista.com/assets/data/pdf/Datasheets/7020R4-Datasheet.pdf</t>
        </is>
      </c>
      <c r="T88" s="27" t="inlineStr"/>
      <c r="U88" s="54" t="inlineStr">
        <is>
          <t>48x1/10G RJ45 + 4x100G QSFP</t>
        </is>
      </c>
      <c r="V88" s="54" t="inlineStr">
        <is>
          <t>0.88 (1.76) Tbps</t>
        </is>
      </c>
      <c r="W88" s="54" t="inlineStr">
        <is>
          <t>900 Mpps</t>
        </is>
      </c>
      <c r="X88" s="54" t="inlineStr">
        <is>
          <t>From 3.8 µs</t>
        </is>
      </c>
      <c r="Y88" s="54" t="inlineStr">
        <is>
          <t>4-core / 8-thread x86</t>
        </is>
      </c>
      <c r="Z88" s="54" t="inlineStr">
        <is>
          <t>16 GB</t>
        </is>
      </c>
      <c r="AA88" s="54" t="inlineStr">
        <is>
          <t>32 GB SSD; flash separately not listed</t>
        </is>
      </c>
      <c r="AB88" s="54" t="inlineStr">
        <is>
          <t>2 GB</t>
        </is>
      </c>
      <c r="AC88" s="54" t="inlineStr">
        <is>
          <t>Yes; 2 (1+1)</t>
        </is>
      </c>
      <c r="AD88" s="54" t="inlineStr">
        <is>
          <t>Yes; 2 (N+1)</t>
        </is>
      </c>
      <c r="AE88" s="54" t="inlineStr">
        <is>
          <t>Yes — front-to-rear / rear-to-front</t>
        </is>
      </c>
    </row>
    <row r="89" ht="72" customHeight="1">
      <c r="A89" s="22" t="n">
        <v>84</v>
      </c>
      <c r="B89" s="18" t="inlineStr">
        <is>
          <t>DCS</t>
        </is>
      </c>
      <c r="C89" s="23" t="inlineStr">
        <is>
          <t>7020R4</t>
        </is>
      </c>
      <c r="D89" s="23" t="inlineStr">
        <is>
          <t>7020R4-48Y-4QC</t>
        </is>
      </c>
      <c r="E89" s="23" t="inlineStr">
        <is>
          <t>7020R4M-48Y-4QC</t>
        </is>
      </c>
      <c r="F89" s="23" t="inlineStr">
        <is>
          <t>고정형 deep-buffer</t>
        </is>
      </c>
      <c r="G89" s="23" t="inlineStr">
        <is>
          <t>Storage, edge compute, content delivery, access routing</t>
        </is>
      </c>
      <c r="H89" s="22" t="inlineStr">
        <is>
          <t>-</t>
        </is>
      </c>
      <c r="I89" s="20" t="inlineStr">
        <is>
          <t>주력</t>
        </is>
      </c>
      <c r="J89" s="22" t="inlineStr">
        <is>
          <t>-</t>
        </is>
      </c>
      <c r="K89" s="23" t="inlineStr">
        <is>
          <t>48x1/10/25G SFP + 4x100G</t>
        </is>
      </c>
      <c r="L89" s="23" t="inlineStr">
        <is>
          <t>1.4 Tbps (2.8 Tbps FDX)</t>
        </is>
      </c>
      <c r="M89" s="23" t="inlineStr">
        <is>
          <t>&lt;3.8 us</t>
        </is>
      </c>
      <c r="N89" s="23" t="inlineStr">
        <is>
          <t>1RU</t>
        </is>
      </c>
      <c r="O89" s="23" t="inlineStr">
        <is>
          <t>-</t>
        </is>
      </c>
      <c r="P89" s="23" t="inlineStr">
        <is>
          <t>TunnelSec</t>
        </is>
      </c>
      <c r="Q89" s="23" t="inlineStr">
        <is>
          <t>현행 공식 플랫폼/데이터시트 등재</t>
        </is>
      </c>
      <c r="R89" s="24" t="inlineStr">
        <is>
          <t>https://www.arista.com/en/products/platforms</t>
        </is>
      </c>
      <c r="S89" s="24" t="inlineStr">
        <is>
          <t>https://www.arista.com/assets/data/pdf/Datasheets/7020R4-Datasheet.pdf</t>
        </is>
      </c>
      <c r="T89" s="23" t="inlineStr"/>
      <c r="U89" s="53" t="inlineStr">
        <is>
          <t>48x1/10/25G SFP28 + 4x100G QSFP</t>
        </is>
      </c>
      <c r="V89" s="53" t="inlineStr">
        <is>
          <t>1.4 (2.8) Tbps</t>
        </is>
      </c>
      <c r="W89" s="53" t="inlineStr">
        <is>
          <t>900 Mpps</t>
        </is>
      </c>
      <c r="X89" s="53" t="inlineStr">
        <is>
          <t>From 3.8 µs</t>
        </is>
      </c>
      <c r="Y89" s="53" t="inlineStr">
        <is>
          <t>4-core / 8-thread x86</t>
        </is>
      </c>
      <c r="Z89" s="53" t="inlineStr">
        <is>
          <t>16 GB</t>
        </is>
      </c>
      <c r="AA89" s="53" t="inlineStr">
        <is>
          <t>32 GB SSD; flash separately not listed</t>
        </is>
      </c>
      <c r="AB89" s="53" t="inlineStr">
        <is>
          <t>2 GB</t>
        </is>
      </c>
      <c r="AC89" s="53" t="inlineStr">
        <is>
          <t>Yes; 2 (1+1)</t>
        </is>
      </c>
      <c r="AD89" s="53" t="inlineStr">
        <is>
          <t>Yes; 2 (N+1)</t>
        </is>
      </c>
      <c r="AE89" s="53" t="inlineStr">
        <is>
          <t>Yes — front-to-rear / rear-to-front</t>
        </is>
      </c>
    </row>
    <row r="90" ht="72" customHeight="1">
      <c r="A90" s="17" t="n">
        <v>85</v>
      </c>
      <c r="B90" s="18" t="inlineStr">
        <is>
          <t>DCS</t>
        </is>
      </c>
      <c r="C90" s="19" t="inlineStr">
        <is>
          <t>7020R4</t>
        </is>
      </c>
      <c r="D90" s="19" t="inlineStr">
        <is>
          <t>7020R4-48Y-8QC</t>
        </is>
      </c>
      <c r="E90" s="19" t="inlineStr">
        <is>
          <t>7020R4M-48Y-8QC</t>
        </is>
      </c>
      <c r="F90" s="19" t="inlineStr">
        <is>
          <t>고정형 deep-buffer</t>
        </is>
      </c>
      <c r="G90" s="19" t="inlineStr">
        <is>
          <t>Storage, edge compute, content delivery, access routing</t>
        </is>
      </c>
      <c r="H90" s="17" t="inlineStr">
        <is>
          <t>-</t>
        </is>
      </c>
      <c r="I90" s="20" t="inlineStr">
        <is>
          <t>주력</t>
        </is>
      </c>
      <c r="J90" s="17" t="inlineStr">
        <is>
          <t>-</t>
        </is>
      </c>
      <c r="K90" s="19" t="inlineStr">
        <is>
          <t>48x1/10/25G SFP + 8x100G</t>
        </is>
      </c>
      <c r="L90" s="19" t="inlineStr">
        <is>
          <t>2.0 Tbps (4.0 Tbps FDX)</t>
        </is>
      </c>
      <c r="M90" s="19" t="inlineStr">
        <is>
          <t>&lt;3.8 us</t>
        </is>
      </c>
      <c r="N90" s="19" t="inlineStr">
        <is>
          <t>1RU</t>
        </is>
      </c>
      <c r="O90" s="19" t="inlineStr">
        <is>
          <t>-</t>
        </is>
      </c>
      <c r="P90" s="19" t="inlineStr">
        <is>
          <t>TunnelSec</t>
        </is>
      </c>
      <c r="Q90" s="19" t="inlineStr">
        <is>
          <t>현행 공식 플랫폼/데이터시트 등재</t>
        </is>
      </c>
      <c r="R90" s="21" t="inlineStr">
        <is>
          <t>https://www.arista.com/en/products/platforms</t>
        </is>
      </c>
      <c r="S90" s="21" t="inlineStr">
        <is>
          <t>https://www.arista.com/assets/data/pdf/Datasheets/7020R4-Datasheet.pdf</t>
        </is>
      </c>
      <c r="T90" s="19" t="inlineStr"/>
      <c r="U90" s="51" t="inlineStr">
        <is>
          <t>48x1/10/25G SFP28 + 8x100G QSFP</t>
        </is>
      </c>
      <c r="V90" s="51" t="inlineStr">
        <is>
          <t>2.0 (4.0) Tbps</t>
        </is>
      </c>
      <c r="W90" s="51" t="inlineStr">
        <is>
          <t>1 Bpps</t>
        </is>
      </c>
      <c r="X90" s="51" t="inlineStr">
        <is>
          <t>From 3.8 µs</t>
        </is>
      </c>
      <c r="Y90" s="51" t="inlineStr">
        <is>
          <t>4-core / 8-thread x86</t>
        </is>
      </c>
      <c r="Z90" s="51" t="inlineStr">
        <is>
          <t>32 GB</t>
        </is>
      </c>
      <c r="AA90" s="51" t="inlineStr">
        <is>
          <t>120 GB SSD</t>
        </is>
      </c>
      <c r="AB90" s="51" t="inlineStr">
        <is>
          <t>4 GB</t>
        </is>
      </c>
      <c r="AC90" s="51" t="inlineStr">
        <is>
          <t>Yes; 2 (1+1)</t>
        </is>
      </c>
      <c r="AD90" s="51" t="inlineStr">
        <is>
          <t>Yes; 3 (N+1)</t>
        </is>
      </c>
      <c r="AE90" s="51" t="inlineStr">
        <is>
          <t>Yes — front-to-rear / rear-to-front</t>
        </is>
      </c>
    </row>
    <row r="91" ht="72" customHeight="1">
      <c r="A91" s="32" t="n">
        <v>86</v>
      </c>
      <c r="B91" s="26" t="inlineStr">
        <is>
          <t>DCS</t>
        </is>
      </c>
      <c r="C91" s="33" t="inlineStr">
        <is>
          <t>7020R</t>
        </is>
      </c>
      <c r="D91" s="33" t="inlineStr">
        <is>
          <t>7020SR-24C2</t>
        </is>
      </c>
      <c r="E91" s="33" t="inlineStr">
        <is>
          <t>DCS-7020SR-24C2 계열</t>
        </is>
      </c>
      <c r="F91" s="33" t="inlineStr">
        <is>
          <t>고정형</t>
        </is>
      </c>
      <c r="G91" s="33" t="inlineStr">
        <is>
          <t>DC/edge/management access</t>
        </is>
      </c>
      <c r="H91" s="32" t="inlineStr">
        <is>
          <t>-</t>
        </is>
      </c>
      <c r="I91" s="35" t="inlineStr">
        <is>
          <t>보조</t>
        </is>
      </c>
      <c r="J91" s="35" t="inlineStr">
        <is>
          <t>보조</t>
        </is>
      </c>
      <c r="K91" s="33" t="inlineStr">
        <is>
          <t>24x10G + 2x100G</t>
        </is>
      </c>
      <c r="L91" s="33" t="inlineStr">
        <is>
          <t>데이터시트 참조</t>
        </is>
      </c>
      <c r="M91" s="33" t="inlineStr">
        <is>
          <t>데이터시트 참조</t>
        </is>
      </c>
      <c r="N91" s="33" t="inlineStr">
        <is>
          <t>1RU</t>
        </is>
      </c>
      <c r="O91" s="33" t="inlineStr">
        <is>
          <t>-</t>
        </is>
      </c>
      <c r="P91" s="33" t="inlineStr">
        <is>
          <t>-</t>
        </is>
      </c>
      <c r="Q91" s="39" t="inlineStr">
        <is>
          <t>공식 레거시 데이터시트 유지</t>
        </is>
      </c>
      <c r="R91" s="34" t="inlineStr">
        <is>
          <t>https://www.arista.com/en/products/platforms</t>
        </is>
      </c>
      <c r="S91" s="34" t="inlineStr">
        <is>
          <t>https://www.arista.com/assets/data/pdf/Datasheets/7020R-48_Datasheet.pdf</t>
        </is>
      </c>
      <c r="T91" s="33" t="inlineStr">
        <is>
          <t>현행 7020R4 이전 세대; 공식 레거시 데이터시트 참조</t>
        </is>
      </c>
      <c r="U91" s="55" t="inlineStr">
        <is>
          <t>24x10G SFP+ + 2x100G QSFP</t>
        </is>
      </c>
      <c r="V91" s="55" t="inlineStr">
        <is>
          <t>880 Gbps</t>
        </is>
      </c>
      <c r="W91" s="55" t="inlineStr">
        <is>
          <t>300 Mpps</t>
        </is>
      </c>
      <c r="X91" s="55" t="inlineStr">
        <is>
          <t>From 3.8 µs</t>
        </is>
      </c>
      <c r="Y91" s="55" t="inlineStr">
        <is>
          <t>Quad-core x86</t>
        </is>
      </c>
      <c r="Z91" s="55" t="inlineStr">
        <is>
          <t>8 GB</t>
        </is>
      </c>
      <c r="AA91" s="55" t="inlineStr">
        <is>
          <t>4 GB</t>
        </is>
      </c>
      <c r="AB91" s="55" t="inlineStr">
        <is>
          <t>3 GB</t>
        </is>
      </c>
      <c r="AC91" s="55" t="inlineStr">
        <is>
          <t>Yes; 2 (1+1)</t>
        </is>
      </c>
      <c r="AD91" s="55" t="inlineStr">
        <is>
          <t>Yes; 3 (N+1)</t>
        </is>
      </c>
      <c r="AE91" s="55" t="inlineStr">
        <is>
          <t>Yes — front-to-rear / rear-to-front</t>
        </is>
      </c>
    </row>
    <row r="92" ht="72" customHeight="1">
      <c r="A92" s="17" t="n">
        <v>87</v>
      </c>
      <c r="B92" s="18" t="inlineStr">
        <is>
          <t>DCS</t>
        </is>
      </c>
      <c r="C92" s="19" t="inlineStr">
        <is>
          <t>7020R</t>
        </is>
      </c>
      <c r="D92" s="19" t="inlineStr">
        <is>
          <t>7020SR-32C2</t>
        </is>
      </c>
      <c r="E92" s="19" t="inlineStr">
        <is>
          <t>DCS-7020SR-32C2 계열</t>
        </is>
      </c>
      <c r="F92" s="19" t="inlineStr">
        <is>
          <t>고정형</t>
        </is>
      </c>
      <c r="G92" s="19" t="inlineStr">
        <is>
          <t>DC/edge/management access</t>
        </is>
      </c>
      <c r="H92" s="17" t="inlineStr">
        <is>
          <t>-</t>
        </is>
      </c>
      <c r="I92" s="36" t="inlineStr">
        <is>
          <t>보조</t>
        </is>
      </c>
      <c r="J92" s="36" t="inlineStr">
        <is>
          <t>보조</t>
        </is>
      </c>
      <c r="K92" s="19" t="inlineStr">
        <is>
          <t>32x10G + 2x100G</t>
        </is>
      </c>
      <c r="L92" s="19" t="inlineStr">
        <is>
          <t>데이터시트 참조</t>
        </is>
      </c>
      <c r="M92" s="19" t="inlineStr">
        <is>
          <t>데이터시트 참조</t>
        </is>
      </c>
      <c r="N92" s="19" t="inlineStr">
        <is>
          <t>1RU</t>
        </is>
      </c>
      <c r="O92" s="19" t="inlineStr">
        <is>
          <t>-</t>
        </is>
      </c>
      <c r="P92" s="19" t="inlineStr">
        <is>
          <t>-</t>
        </is>
      </c>
      <c r="Q92" s="40" t="inlineStr">
        <is>
          <t>공식 레거시 데이터시트 유지</t>
        </is>
      </c>
      <c r="R92" s="21" t="inlineStr">
        <is>
          <t>https://www.arista.com/en/products/platforms</t>
        </is>
      </c>
      <c r="S92" s="21" t="inlineStr">
        <is>
          <t>https://www.arista.com/assets/data/pdf/Datasheets/7020R-48_Datasheet.pdf</t>
        </is>
      </c>
      <c r="T92" s="19" t="inlineStr">
        <is>
          <t>현행 7020R4 이전 세대; 공식 레거시 데이터시트 참조</t>
        </is>
      </c>
      <c r="U92" s="51" t="inlineStr">
        <is>
          <t>32x10G SFP+ + 2x100G QSFP</t>
        </is>
      </c>
      <c r="V92" s="51" t="inlineStr">
        <is>
          <t>1.04 Tbps</t>
        </is>
      </c>
      <c r="W92" s="51" t="inlineStr">
        <is>
          <t>300 Mpps</t>
        </is>
      </c>
      <c r="X92" s="51" t="inlineStr">
        <is>
          <t>From 3.8 µs</t>
        </is>
      </c>
      <c r="Y92" s="51" t="inlineStr">
        <is>
          <t>Dual-core x86</t>
        </is>
      </c>
      <c r="Z92" s="51" t="inlineStr">
        <is>
          <t>8 GB</t>
        </is>
      </c>
      <c r="AA92" s="51" t="inlineStr">
        <is>
          <t>8 GB</t>
        </is>
      </c>
      <c r="AB92" s="51" t="inlineStr">
        <is>
          <t>3 GB</t>
        </is>
      </c>
      <c r="AC92" s="51" t="inlineStr">
        <is>
          <t>Yes; 2 (1+1)</t>
        </is>
      </c>
      <c r="AD92" s="51" t="inlineStr">
        <is>
          <t>Yes; 2 (N+1)</t>
        </is>
      </c>
      <c r="AE92" s="51" t="inlineStr">
        <is>
          <t>Yes — front-to-rear / rear-to-front</t>
        </is>
      </c>
    </row>
    <row r="93" ht="72" customHeight="1">
      <c r="A93" s="22" t="n">
        <v>88</v>
      </c>
      <c r="B93" s="18" t="inlineStr">
        <is>
          <t>DCS</t>
        </is>
      </c>
      <c r="C93" s="23" t="inlineStr">
        <is>
          <t>7020R</t>
        </is>
      </c>
      <c r="D93" s="23" t="inlineStr">
        <is>
          <t>7020TR-48</t>
        </is>
      </c>
      <c r="E93" s="23" t="inlineStr">
        <is>
          <t>DCS-7020TR-48 계열</t>
        </is>
      </c>
      <c r="F93" s="23" t="inlineStr">
        <is>
          <t>고정형</t>
        </is>
      </c>
      <c r="G93" s="23" t="inlineStr">
        <is>
          <t>DC/edge/management access</t>
        </is>
      </c>
      <c r="H93" s="22" t="inlineStr">
        <is>
          <t>-</t>
        </is>
      </c>
      <c r="I93" s="36" t="inlineStr">
        <is>
          <t>보조</t>
        </is>
      </c>
      <c r="J93" s="36" t="inlineStr">
        <is>
          <t>보조</t>
        </is>
      </c>
      <c r="K93" s="23" t="inlineStr">
        <is>
          <t>48x100/1000BASE-T + 6x10G</t>
        </is>
      </c>
      <c r="L93" s="23" t="inlineStr">
        <is>
          <t>데이터시트 참조</t>
        </is>
      </c>
      <c r="M93" s="23" t="inlineStr">
        <is>
          <t>데이터시트 참조</t>
        </is>
      </c>
      <c r="N93" s="23" t="inlineStr">
        <is>
          <t>1RU</t>
        </is>
      </c>
      <c r="O93" s="23" t="inlineStr">
        <is>
          <t>-</t>
        </is>
      </c>
      <c r="P93" s="23" t="inlineStr">
        <is>
          <t>-</t>
        </is>
      </c>
      <c r="Q93" s="40" t="inlineStr">
        <is>
          <t>공식 레거시 데이터시트 유지</t>
        </is>
      </c>
      <c r="R93" s="24" t="inlineStr">
        <is>
          <t>https://www.arista.com/en/products/platforms</t>
        </is>
      </c>
      <c r="S93" s="24" t="inlineStr">
        <is>
          <t>https://www.arista.com/assets/data/pdf/Datasheets/7020R-48_Datasheet.pdf</t>
        </is>
      </c>
      <c r="T93" s="23" t="inlineStr">
        <is>
          <t>현행 7020R4 이전 세대; 공식 레거시 데이터시트 참조</t>
        </is>
      </c>
      <c r="U93" s="53" t="inlineStr">
        <is>
          <t>48x100/1000BASE-T + 6x1/10G SFP+</t>
        </is>
      </c>
      <c r="V93" s="53" t="inlineStr">
        <is>
          <t>216 Gbps</t>
        </is>
      </c>
      <c r="W93" s="53" t="inlineStr">
        <is>
          <t>162 Mpps</t>
        </is>
      </c>
      <c r="X93" s="53" t="inlineStr">
        <is>
          <t>From 3.8 µs</t>
        </is>
      </c>
      <c r="Y93" s="53" t="inlineStr">
        <is>
          <t>Quad-core x86</t>
        </is>
      </c>
      <c r="Z93" s="53" t="inlineStr">
        <is>
          <t>8 GB</t>
        </is>
      </c>
      <c r="AA93" s="53" t="inlineStr">
        <is>
          <t>4 GB</t>
        </is>
      </c>
      <c r="AB93" s="53" t="inlineStr">
        <is>
          <t>3 GB</t>
        </is>
      </c>
      <c r="AC93" s="53" t="inlineStr">
        <is>
          <t>Yes; 2 (1+1)</t>
        </is>
      </c>
      <c r="AD93" s="53" t="inlineStr">
        <is>
          <t>Yes; 4 (N+1)</t>
        </is>
      </c>
      <c r="AE93" s="53" t="inlineStr">
        <is>
          <t>Yes — front-to-rear / rear-to-front</t>
        </is>
      </c>
    </row>
    <row r="94" ht="72" customHeight="1">
      <c r="A94" s="17" t="n">
        <v>89</v>
      </c>
      <c r="B94" s="18" t="inlineStr">
        <is>
          <t>DCS</t>
        </is>
      </c>
      <c r="C94" s="19" t="inlineStr">
        <is>
          <t>7020R</t>
        </is>
      </c>
      <c r="D94" s="19" t="inlineStr">
        <is>
          <t>7020TRA-48</t>
        </is>
      </c>
      <c r="E94" s="19" t="inlineStr">
        <is>
          <t>DCS-7020TRA-48 계열</t>
        </is>
      </c>
      <c r="F94" s="19" t="inlineStr">
        <is>
          <t>고정형</t>
        </is>
      </c>
      <c r="G94" s="19" t="inlineStr">
        <is>
          <t>DC/edge/management access</t>
        </is>
      </c>
      <c r="H94" s="17" t="inlineStr">
        <is>
          <t>-</t>
        </is>
      </c>
      <c r="I94" s="36" t="inlineStr">
        <is>
          <t>보조</t>
        </is>
      </c>
      <c r="J94" s="36" t="inlineStr">
        <is>
          <t>보조</t>
        </is>
      </c>
      <c r="K94" s="19" t="inlineStr">
        <is>
          <t>48x100/1000BASE-T + 6x10G</t>
        </is>
      </c>
      <c r="L94" s="19" t="inlineStr">
        <is>
          <t>데이터시트 참조</t>
        </is>
      </c>
      <c r="M94" s="19" t="inlineStr">
        <is>
          <t>데이터시트 참조</t>
        </is>
      </c>
      <c r="N94" s="19" t="inlineStr">
        <is>
          <t>1RU</t>
        </is>
      </c>
      <c r="O94" s="19" t="inlineStr">
        <is>
          <t>-</t>
        </is>
      </c>
      <c r="P94" s="19" t="inlineStr">
        <is>
          <t>-</t>
        </is>
      </c>
      <c r="Q94" s="40" t="inlineStr">
        <is>
          <t>공식 레거시 데이터시트 유지</t>
        </is>
      </c>
      <c r="R94" s="21" t="inlineStr">
        <is>
          <t>https://www.arista.com/en/products/platforms</t>
        </is>
      </c>
      <c r="S94" s="21" t="inlineStr">
        <is>
          <t>https://www.arista.com/assets/data/pdf/Datasheets/7020R-48_Datasheet.pdf</t>
        </is>
      </c>
      <c r="T94" s="19" t="inlineStr">
        <is>
          <t>현행 7020R4 이전 세대; 공식 레거시 데이터시트 참조</t>
        </is>
      </c>
      <c r="U94" s="51" t="inlineStr">
        <is>
          <t>48x100/1000BASE-T + 6x1/10G SFP+</t>
        </is>
      </c>
      <c r="V94" s="51" t="inlineStr">
        <is>
          <t>216 Gbps</t>
        </is>
      </c>
      <c r="W94" s="51" t="inlineStr">
        <is>
          <t>162 Mpps</t>
        </is>
      </c>
      <c r="X94" s="51" t="inlineStr">
        <is>
          <t>From 3.8 µs</t>
        </is>
      </c>
      <c r="Y94" s="51" t="inlineStr">
        <is>
          <t>Quad-core x86</t>
        </is>
      </c>
      <c r="Z94" s="51" t="inlineStr">
        <is>
          <t>8 GB</t>
        </is>
      </c>
      <c r="AA94" s="51" t="inlineStr">
        <is>
          <t>4 GB</t>
        </is>
      </c>
      <c r="AB94" s="51" t="inlineStr">
        <is>
          <t>3 GB</t>
        </is>
      </c>
      <c r="AC94" s="51" t="inlineStr">
        <is>
          <t>Yes; 2 (1+1)</t>
        </is>
      </c>
      <c r="AD94" s="51" t="inlineStr">
        <is>
          <t>Yes; 4 (N+1)</t>
        </is>
      </c>
      <c r="AE94" s="51" t="inlineStr">
        <is>
          <t>Yes — front-to-rear / rear-to-front</t>
        </is>
      </c>
    </row>
    <row r="95" ht="72" customHeight="1">
      <c r="A95" s="32" t="n">
        <v>90</v>
      </c>
      <c r="B95" s="26" t="inlineStr">
        <is>
          <t>DCS</t>
        </is>
      </c>
      <c r="C95" s="33" t="inlineStr">
        <is>
          <t>7010X</t>
        </is>
      </c>
      <c r="D95" s="33" t="inlineStr">
        <is>
          <t>7010TX-48</t>
        </is>
      </c>
      <c r="E95" s="33" t="inlineStr">
        <is>
          <t>7010TX-48-DC 포함</t>
        </is>
      </c>
      <c r="F95" s="33" t="inlineStr">
        <is>
          <t>고정형</t>
        </is>
      </c>
      <c r="G95" s="33" t="inlineStr">
        <is>
          <t>DC OOB/1G access, compact campus aggregation</t>
        </is>
      </c>
      <c r="H95" s="32" t="inlineStr">
        <is>
          <t>-</t>
        </is>
      </c>
      <c r="I95" s="35" t="inlineStr">
        <is>
          <t>보조</t>
        </is>
      </c>
      <c r="J95" s="35" t="inlineStr">
        <is>
          <t>보조</t>
        </is>
      </c>
      <c r="K95" s="33" t="inlineStr">
        <is>
          <t>48x10/100/1000BASE-T + 4x10/25G</t>
        </is>
      </c>
      <c r="L95" s="33" t="inlineStr">
        <is>
          <t>296 Gbps</t>
        </is>
      </c>
      <c r="M95" s="33" t="inlineStr">
        <is>
          <t>2.8 us</t>
        </is>
      </c>
      <c r="N95" s="33" t="inlineStr">
        <is>
          <t>1RU</t>
        </is>
      </c>
      <c r="O95" s="33" t="inlineStr">
        <is>
          <t>-</t>
        </is>
      </c>
      <c r="P95" s="33" t="inlineStr">
        <is>
          <t>-</t>
        </is>
      </c>
      <c r="Q95" s="33" t="inlineStr">
        <is>
          <t>현행 공식 플랫폼/데이터시트 등재</t>
        </is>
      </c>
      <c r="R95" s="34" t="inlineStr">
        <is>
          <t>https://www.arista.com/en/products/platforms</t>
        </is>
      </c>
      <c r="S95" s="34" t="inlineStr">
        <is>
          <t>https://www.arista.com/assets/data/pdf/Datasheets/7010TX-Datasheet.pdf</t>
        </is>
      </c>
      <c r="T95" s="33" t="inlineStr"/>
      <c r="U95" s="55" t="inlineStr">
        <is>
          <t>48x10/100/1000BASE-T + 4x1/10/25G SFP</t>
        </is>
      </c>
      <c r="V95" s="55" t="inlineStr">
        <is>
          <t>296 Gbps</t>
        </is>
      </c>
      <c r="W95" s="55" t="inlineStr">
        <is>
          <t>220 Mpps</t>
        </is>
      </c>
      <c r="X95" s="55" t="inlineStr">
        <is>
          <t>From 2.8 µs</t>
        </is>
      </c>
      <c r="Y95" s="55" t="inlineStr">
        <is>
          <t>Dual-core x86</t>
        </is>
      </c>
      <c r="Z95" s="55" t="inlineStr">
        <is>
          <t>4 GB</t>
        </is>
      </c>
      <c r="AA95" s="55" t="inlineStr">
        <is>
          <t>8 GB</t>
        </is>
      </c>
      <c r="AB95" s="55" t="inlineStr">
        <is>
          <t>4 MB</t>
        </is>
      </c>
      <c r="AC95" s="55" t="inlineStr">
        <is>
          <t>Yes; 2 internal (1+1)</t>
        </is>
      </c>
      <c r="AD95" s="55" t="inlineStr">
        <is>
          <t>Yes; redundant hot-swappable fan module / 2 fans</t>
        </is>
      </c>
      <c r="AE95" s="55" t="inlineStr">
        <is>
          <t>Yes — front-to-rear / rear-to-front</t>
        </is>
      </c>
    </row>
    <row r="96" ht="72" customHeight="1">
      <c r="A96" s="17" t="n">
        <v>91</v>
      </c>
      <c r="B96" s="18" t="inlineStr">
        <is>
          <t>DCS</t>
        </is>
      </c>
      <c r="C96" s="19" t="inlineStr">
        <is>
          <t>7010X</t>
        </is>
      </c>
      <c r="D96" s="19" t="inlineStr">
        <is>
          <t>7010TX-48C</t>
        </is>
      </c>
      <c r="E96" s="19" t="inlineStr">
        <is>
          <t>7010TX-48C-DC 포함</t>
        </is>
      </c>
      <c r="F96" s="19" t="inlineStr">
        <is>
          <t>고정형</t>
        </is>
      </c>
      <c r="G96" s="19" t="inlineStr">
        <is>
          <t>DC OOB/1G access, compact campus aggregation</t>
        </is>
      </c>
      <c r="H96" s="17" t="inlineStr">
        <is>
          <t>-</t>
        </is>
      </c>
      <c r="I96" s="36" t="inlineStr">
        <is>
          <t>보조</t>
        </is>
      </c>
      <c r="J96" s="36" t="inlineStr">
        <is>
          <t>보조</t>
        </is>
      </c>
      <c r="K96" s="19" t="inlineStr">
        <is>
          <t>48x10/100/1000BASE-T + 4x10/25G</t>
        </is>
      </c>
      <c r="L96" s="19" t="inlineStr">
        <is>
          <t>296 Gbps</t>
        </is>
      </c>
      <c r="M96" s="19" t="inlineStr">
        <is>
          <t>2.8 us</t>
        </is>
      </c>
      <c r="N96" s="19" t="inlineStr">
        <is>
          <t>1RU</t>
        </is>
      </c>
      <c r="O96" s="19" t="inlineStr">
        <is>
          <t>-</t>
        </is>
      </c>
      <c r="P96" s="19" t="inlineStr">
        <is>
          <t>-</t>
        </is>
      </c>
      <c r="Q96" s="19" t="inlineStr">
        <is>
          <t>현행 공식 플랫폼/데이터시트 등재</t>
        </is>
      </c>
      <c r="R96" s="21" t="inlineStr">
        <is>
          <t>https://www.arista.com/en/products/platforms</t>
        </is>
      </c>
      <c r="S96" s="21" t="inlineStr">
        <is>
          <t>https://www.arista.com/assets/data/pdf/Datasheets/7010TX-Datasheet.pdf</t>
        </is>
      </c>
      <c r="T96" s="19" t="inlineStr">
        <is>
          <t>C 변형은 airflow/구성 차이; 데이터시트 ordering information 참조</t>
        </is>
      </c>
      <c r="U96" s="51" t="inlineStr">
        <is>
          <t>48x10/100/1000BASE-T + 4x1/10/25G SFP</t>
        </is>
      </c>
      <c r="V96" s="51" t="inlineStr">
        <is>
          <t>296 Gbps</t>
        </is>
      </c>
      <c r="W96" s="51" t="inlineStr">
        <is>
          <t>220 Mpps</t>
        </is>
      </c>
      <c r="X96" s="51" t="inlineStr">
        <is>
          <t>From 2.8 µs</t>
        </is>
      </c>
      <c r="Y96" s="51" t="inlineStr">
        <is>
          <t>Dual-core x86</t>
        </is>
      </c>
      <c r="Z96" s="51" t="inlineStr">
        <is>
          <t>8 GB</t>
        </is>
      </c>
      <c r="AA96" s="51" t="inlineStr">
        <is>
          <t>8 GB</t>
        </is>
      </c>
      <c r="AB96" s="51" t="inlineStr">
        <is>
          <t>4 MB</t>
        </is>
      </c>
      <c r="AC96" s="51" t="inlineStr">
        <is>
          <t>Yes; 2 internal (1+1)</t>
        </is>
      </c>
      <c r="AD96" s="51" t="inlineStr">
        <is>
          <t>Yes; redundant hot-swappable fan module / 2 fans</t>
        </is>
      </c>
      <c r="AE96" s="51" t="inlineStr">
        <is>
          <t>Yes — front-to-rear / rear-to-front</t>
        </is>
      </c>
    </row>
    <row r="97" ht="72" customHeight="1">
      <c r="A97" s="32" t="n">
        <v>92</v>
      </c>
      <c r="B97" s="41" t="inlineStr">
        <is>
          <t>CCS</t>
        </is>
      </c>
      <c r="C97" s="33" t="inlineStr">
        <is>
          <t>750X</t>
        </is>
      </c>
      <c r="D97" s="33" t="inlineStr">
        <is>
          <t>CCS-758-CH</t>
        </is>
      </c>
      <c r="E97" s="33" t="inlineStr">
        <is>
          <t>CCS-758-100-BND / CCS-758-25-BND</t>
        </is>
      </c>
      <c r="F97" s="33" t="inlineStr">
        <is>
          <t>8-slot modular chassis</t>
        </is>
      </c>
      <c r="G97" s="33" t="inlineStr">
        <is>
          <t>Large campus core/distribution and high-density PoE access</t>
        </is>
      </c>
      <c r="H97" s="32" t="inlineStr">
        <is>
          <t>-</t>
        </is>
      </c>
      <c r="I97" s="32" t="inlineStr">
        <is>
          <t>-</t>
        </is>
      </c>
      <c r="J97" s="29" t="inlineStr">
        <is>
          <t>주력</t>
        </is>
      </c>
      <c r="K97" s="33" t="inlineStr">
        <is>
          <t>최대 384 access ports; supervisor uplinks 4x100G 또는 8x25G</t>
        </is>
      </c>
      <c r="L97" s="33" t="inlineStr">
        <is>
          <t>1.6 Tbps</t>
        </is>
      </c>
      <c r="M97" s="33" t="inlineStr">
        <is>
          <t>&lt;1 us</t>
        </is>
      </c>
      <c r="N97" s="33" t="inlineStr">
        <is>
          <t>10RU</t>
        </is>
      </c>
      <c r="O97" s="33" t="inlineStr">
        <is>
          <t>라인카드별 최대 90W</t>
        </is>
      </c>
      <c r="P97" s="33" t="inlineStr">
        <is>
          <t>모든 access/uplink 포트 MACsec (라이선스)</t>
        </is>
      </c>
      <c r="Q97" s="33" t="inlineStr">
        <is>
          <t>현행 공식 데이터시트 주문정보</t>
        </is>
      </c>
      <c r="R97" s="34" t="inlineStr">
        <is>
          <t>https://www.arista.com/en/products/platforms</t>
        </is>
      </c>
      <c r="S97" s="34" t="inlineStr">
        <is>
          <t>https://www.arista.com/assets/data/pdf/Datasheets/CCS-750-Series-Datasheet.pdf</t>
        </is>
      </c>
      <c r="T97" s="33" t="inlineStr">
        <is>
          <t>섀시 번들은 switch card 1개와 Sup100 또는 Sup25 1개 포함</t>
        </is>
      </c>
      <c r="U97" s="55" t="inlineStr">
        <is>
          <t>Up to 384 access ports; Supervisor uplinks 4x100G or 8x25G</t>
        </is>
      </c>
      <c r="V97" s="55" t="inlineStr">
        <is>
          <t>1.6 Tbps</t>
        </is>
      </c>
      <c r="W97" s="55" t="inlineStr">
        <is>
          <t>850 Mpps</t>
        </is>
      </c>
      <c r="X97" s="55" t="inlineStr">
        <is>
          <t>&lt;1 µs</t>
        </is>
      </c>
      <c r="Y97" s="55" t="inlineStr">
        <is>
          <t>Quad-core x86 (Supervisor)</t>
        </is>
      </c>
      <c r="Z97" s="55" t="inlineStr">
        <is>
          <t>16 GB (Supervisor)</t>
        </is>
      </c>
      <c r="AA97" s="55" t="inlineStr">
        <is>
          <t>120 GB storage (Supervisor)</t>
        </is>
      </c>
      <c r="AB97" s="55" t="inlineStr">
        <is>
          <t>32 MB shared (Switch Card)</t>
        </is>
      </c>
      <c r="AC97" s="55" t="inlineStr">
        <is>
          <t>Yes; 10</t>
        </is>
      </c>
      <c r="AD97" s="55" t="inlineStr">
        <is>
          <t>Yes; 8</t>
        </is>
      </c>
      <c r="AE97" s="55" t="inlineStr">
        <is>
          <t>No — front-to-rear only</t>
        </is>
      </c>
    </row>
    <row r="98" ht="72" customHeight="1">
      <c r="A98" s="17" t="n">
        <v>93</v>
      </c>
      <c r="B98" s="42" t="inlineStr">
        <is>
          <t>CCS</t>
        </is>
      </c>
      <c r="C98" s="19" t="inlineStr">
        <is>
          <t>750X</t>
        </is>
      </c>
      <c r="D98" s="19" t="inlineStr">
        <is>
          <t>CCS-755-CH</t>
        </is>
      </c>
      <c r="E98" s="19" t="inlineStr">
        <is>
          <t>CCS-755-100-BND / CCS-755-25-BND</t>
        </is>
      </c>
      <c r="F98" s="19" t="inlineStr">
        <is>
          <t>5-slot modular chassis</t>
        </is>
      </c>
      <c r="G98" s="19" t="inlineStr">
        <is>
          <t>Medium/large campus core/distribution and PoE access</t>
        </is>
      </c>
      <c r="H98" s="17" t="inlineStr">
        <is>
          <t>-</t>
        </is>
      </c>
      <c r="I98" s="17" t="inlineStr">
        <is>
          <t>-</t>
        </is>
      </c>
      <c r="J98" s="20" t="inlineStr">
        <is>
          <t>주력</t>
        </is>
      </c>
      <c r="K98" s="19" t="inlineStr">
        <is>
          <t>최대 240 access ports; supervisor uplinks 4x100G 또는 8x25G</t>
        </is>
      </c>
      <c r="L98" s="19" t="inlineStr">
        <is>
          <t>1.15 Tbps</t>
        </is>
      </c>
      <c r="M98" s="19" t="inlineStr">
        <is>
          <t>&lt;1 us</t>
        </is>
      </c>
      <c r="N98" s="19" t="inlineStr">
        <is>
          <t>7RU</t>
        </is>
      </c>
      <c r="O98" s="19" t="inlineStr">
        <is>
          <t>라인카드별 최대 90W</t>
        </is>
      </c>
      <c r="P98" s="19" t="inlineStr">
        <is>
          <t>모든 access/uplink 포트 MACsec (라이선스)</t>
        </is>
      </c>
      <c r="Q98" s="19" t="inlineStr">
        <is>
          <t>현행 공식 데이터시트 주문정보</t>
        </is>
      </c>
      <c r="R98" s="21" t="inlineStr">
        <is>
          <t>https://www.arista.com/en/products/platforms</t>
        </is>
      </c>
      <c r="S98" s="21" t="inlineStr">
        <is>
          <t>https://www.arista.com/assets/data/pdf/Datasheets/CCS-750-Series-Datasheet.pdf</t>
        </is>
      </c>
      <c r="T98" s="19" t="inlineStr">
        <is>
          <t>섀시 번들은 switch card 1개와 Sup100 또는 Sup25 1개 포함</t>
        </is>
      </c>
      <c r="U98" s="51" t="inlineStr">
        <is>
          <t>Up to 240 access ports; Supervisor uplinks 4x100G or 8x25G</t>
        </is>
      </c>
      <c r="V98" s="51" t="inlineStr">
        <is>
          <t>1.15 Tbps</t>
        </is>
      </c>
      <c r="W98" s="51" t="inlineStr">
        <is>
          <t>850 Mpps</t>
        </is>
      </c>
      <c r="X98" s="51" t="inlineStr">
        <is>
          <t>&lt;1 µs</t>
        </is>
      </c>
      <c r="Y98" s="51" t="inlineStr">
        <is>
          <t>Quad-core x86 (Supervisor)</t>
        </is>
      </c>
      <c r="Z98" s="51" t="inlineStr">
        <is>
          <t>16 GB (Supervisor)</t>
        </is>
      </c>
      <c r="AA98" s="51" t="inlineStr">
        <is>
          <t>120 GB storage (Supervisor)</t>
        </is>
      </c>
      <c r="AB98" s="51" t="inlineStr">
        <is>
          <t>32 MB shared (Switch Card)</t>
        </is>
      </c>
      <c r="AC98" s="51" t="inlineStr">
        <is>
          <t>Yes; 6</t>
        </is>
      </c>
      <c r="AD98" s="51" t="inlineStr">
        <is>
          <t>Yes; 6</t>
        </is>
      </c>
      <c r="AE98" s="51" t="inlineStr">
        <is>
          <t>No — front-to-rear only</t>
        </is>
      </c>
    </row>
    <row r="99" ht="72" customHeight="1">
      <c r="A99" s="22" t="n">
        <v>94</v>
      </c>
      <c r="B99" s="42" t="inlineStr">
        <is>
          <t>CCS</t>
        </is>
      </c>
      <c r="C99" s="23" t="inlineStr">
        <is>
          <t>750X</t>
        </is>
      </c>
      <c r="D99" s="23" t="inlineStr">
        <is>
          <t>CCS-750X-48TP-LC</t>
        </is>
      </c>
      <c r="E99" s="23" t="inlineStr">
        <is>
          <t>CCS-758-CH 및 CCS-755-CH 호환</t>
        </is>
      </c>
      <c r="F99" s="23" t="inlineStr">
        <is>
          <t>모듈형 라인카드</t>
        </is>
      </c>
      <c r="G99" s="23" t="inlineStr">
        <is>
          <t>Campus access/distribution</t>
        </is>
      </c>
      <c r="H99" s="22" t="inlineStr">
        <is>
          <t>-</t>
        </is>
      </c>
      <c r="I99" s="22" t="inlineStr">
        <is>
          <t>-</t>
        </is>
      </c>
      <c r="J99" s="20" t="inlineStr">
        <is>
          <t>주력</t>
        </is>
      </c>
      <c r="K99" s="23" t="inlineStr">
        <is>
          <t>48x10/100/1000 RJ45</t>
        </is>
      </c>
      <c r="L99" s="23" t="inlineStr">
        <is>
          <t>섀시 switch card 공유</t>
        </is>
      </c>
      <c r="M99" s="23" t="inlineStr">
        <is>
          <t>섀시 기준</t>
        </is>
      </c>
      <c r="N99" s="23" t="inlineStr">
        <is>
          <t>1 line-card slot</t>
        </is>
      </c>
      <c r="O99" s="23" t="inlineStr">
        <is>
          <t>30W/port</t>
        </is>
      </c>
      <c r="P99" s="23" t="inlineStr">
        <is>
          <t>모든 포트 MACsec</t>
        </is>
      </c>
      <c r="Q99" s="23" t="inlineStr">
        <is>
          <t>현행 공식 데이터시트 주문정보</t>
        </is>
      </c>
      <c r="R99" s="24" t="inlineStr">
        <is>
          <t>https://www.arista.com/en/products/platforms</t>
        </is>
      </c>
      <c r="S99" s="24" t="inlineStr">
        <is>
          <t>https://www.arista.com/assets/data/pdf/Datasheets/CCS-750-Series-Datasheet.pdf</t>
        </is>
      </c>
      <c r="T99" s="23" t="inlineStr">
        <is>
          <t>1G PoE line card</t>
        </is>
      </c>
      <c r="U99" s="53" t="inlineStr">
        <is>
          <t>48x10/100/1000 RJ45</t>
        </is>
      </c>
      <c r="V99" s="53" t="inlineStr">
        <is>
          <t>Chassis Switch Card: 1.6 Tbps (758) / 1.15 Tbps (755)</t>
        </is>
      </c>
      <c r="W99" s="53" t="inlineStr">
        <is>
          <t>850 Mpps (chassis)</t>
        </is>
      </c>
      <c r="X99" s="53" t="inlineStr">
        <is>
          <t>&lt;1 µs (chassis)</t>
        </is>
      </c>
      <c r="Y99" s="53" t="inlineStr">
        <is>
          <t>Quad-core x86 (Supervisor; not on line card)</t>
        </is>
      </c>
      <c r="Z99" s="53" t="inlineStr">
        <is>
          <t>16 GB (Supervisor; not on line card)</t>
        </is>
      </c>
      <c r="AA99" s="53" t="inlineStr">
        <is>
          <t>120 GB storage (Supervisor; not on line card)</t>
        </is>
      </c>
      <c r="AB99" s="53" t="inlineStr">
        <is>
          <t>32 MB shared (Switch Card)</t>
        </is>
      </c>
      <c r="AC99" s="53" t="inlineStr">
        <is>
          <t>Chassis: 758=10 / 755=6; hot-swappable</t>
        </is>
      </c>
      <c r="AD99" s="53" t="inlineStr">
        <is>
          <t>Chassis: 758=8 / 755=6; hot-swappable</t>
        </is>
      </c>
      <c r="AE99" s="53" t="inlineStr">
        <is>
          <t>No — front-to-rear chassis airflow</t>
        </is>
      </c>
    </row>
    <row r="100" ht="72" customHeight="1">
      <c r="A100" s="17" t="n">
        <v>95</v>
      </c>
      <c r="B100" s="42" t="inlineStr">
        <is>
          <t>CCS</t>
        </is>
      </c>
      <c r="C100" s="19" t="inlineStr">
        <is>
          <t>750X</t>
        </is>
      </c>
      <c r="D100" s="19" t="inlineStr">
        <is>
          <t>CCS-750X-48THP-LC</t>
        </is>
      </c>
      <c r="E100" s="19" t="inlineStr">
        <is>
          <t>CCS-758-CH 및 CCS-755-CH 호환</t>
        </is>
      </c>
      <c r="F100" s="19" t="inlineStr">
        <is>
          <t>모듈형 라인카드</t>
        </is>
      </c>
      <c r="G100" s="19" t="inlineStr">
        <is>
          <t>Campus access/distribution</t>
        </is>
      </c>
      <c r="H100" s="17" t="inlineStr">
        <is>
          <t>-</t>
        </is>
      </c>
      <c r="I100" s="17" t="inlineStr">
        <is>
          <t>-</t>
        </is>
      </c>
      <c r="J100" s="20" t="inlineStr">
        <is>
          <t>주력</t>
        </is>
      </c>
      <c r="K100" s="19" t="inlineStr">
        <is>
          <t>48x10/100/1000 RJ45</t>
        </is>
      </c>
      <c r="L100" s="19" t="inlineStr">
        <is>
          <t>섀시 switch card 공유</t>
        </is>
      </c>
      <c r="M100" s="19" t="inlineStr">
        <is>
          <t>섀시 기준</t>
        </is>
      </c>
      <c r="N100" s="19" t="inlineStr">
        <is>
          <t>1 line-card slot</t>
        </is>
      </c>
      <c r="O100" s="19" t="inlineStr">
        <is>
          <t>90W/port</t>
        </is>
      </c>
      <c r="P100" s="19" t="inlineStr">
        <is>
          <t>모든 포트 MACsec</t>
        </is>
      </c>
      <c r="Q100" s="19" t="inlineStr">
        <is>
          <t>현행 공식 데이터시트 주문정보</t>
        </is>
      </c>
      <c r="R100" s="21" t="inlineStr">
        <is>
          <t>https://www.arista.com/en/products/platforms</t>
        </is>
      </c>
      <c r="S100" s="21" t="inlineStr">
        <is>
          <t>https://www.arista.com/assets/data/pdf/Datasheets/CCS-750-Series-Datasheet.pdf</t>
        </is>
      </c>
      <c r="T100" s="19" t="inlineStr">
        <is>
          <t>1G high-power PoE line card</t>
        </is>
      </c>
      <c r="U100" s="51" t="inlineStr">
        <is>
          <t>48x10/100/1000 RJ45</t>
        </is>
      </c>
      <c r="V100" s="51" t="inlineStr">
        <is>
          <t>Chassis Switch Card: 1.6 Tbps (758) / 1.15 Tbps (755)</t>
        </is>
      </c>
      <c r="W100" s="51" t="inlineStr">
        <is>
          <t>850 Mpps (chassis)</t>
        </is>
      </c>
      <c r="X100" s="51" t="inlineStr">
        <is>
          <t>&lt;1 µs (chassis)</t>
        </is>
      </c>
      <c r="Y100" s="51" t="inlineStr">
        <is>
          <t>Quad-core x86 (Supervisor; not on line card)</t>
        </is>
      </c>
      <c r="Z100" s="51" t="inlineStr">
        <is>
          <t>16 GB (Supervisor; not on line card)</t>
        </is>
      </c>
      <c r="AA100" s="51" t="inlineStr">
        <is>
          <t>120 GB storage (Supervisor; not on line card)</t>
        </is>
      </c>
      <c r="AB100" s="51" t="inlineStr">
        <is>
          <t>32 MB shared (Switch Card)</t>
        </is>
      </c>
      <c r="AC100" s="51" t="inlineStr">
        <is>
          <t>Chassis: 758=10 / 755=6; hot-swappable</t>
        </is>
      </c>
      <c r="AD100" s="51" t="inlineStr">
        <is>
          <t>Chassis: 758=8 / 755=6; hot-swappable</t>
        </is>
      </c>
      <c r="AE100" s="51" t="inlineStr">
        <is>
          <t>No — front-to-rear chassis airflow</t>
        </is>
      </c>
    </row>
    <row r="101" ht="72" customHeight="1">
      <c r="A101" s="22" t="n">
        <v>96</v>
      </c>
      <c r="B101" s="42" t="inlineStr">
        <is>
          <t>CCS</t>
        </is>
      </c>
      <c r="C101" s="23" t="inlineStr">
        <is>
          <t>750X</t>
        </is>
      </c>
      <c r="D101" s="23" t="inlineStr">
        <is>
          <t>CCS-750X-48ZP-LC</t>
        </is>
      </c>
      <c r="E101" s="23" t="inlineStr">
        <is>
          <t>CCS-758-CH 및 CCS-755-CH 호환</t>
        </is>
      </c>
      <c r="F101" s="23" t="inlineStr">
        <is>
          <t>모듈형 라인카드</t>
        </is>
      </c>
      <c r="G101" s="23" t="inlineStr">
        <is>
          <t>Campus access/distribution</t>
        </is>
      </c>
      <c r="H101" s="22" t="inlineStr">
        <is>
          <t>-</t>
        </is>
      </c>
      <c r="I101" s="22" t="inlineStr">
        <is>
          <t>-</t>
        </is>
      </c>
      <c r="J101" s="20" t="inlineStr">
        <is>
          <t>주력</t>
        </is>
      </c>
      <c r="K101" s="23" t="inlineStr">
        <is>
          <t>48x100M/1G/2.5G RJ45</t>
        </is>
      </c>
      <c r="L101" s="23" t="inlineStr">
        <is>
          <t>섀시 switch card 공유</t>
        </is>
      </c>
      <c r="M101" s="23" t="inlineStr">
        <is>
          <t>섀시 기준</t>
        </is>
      </c>
      <c r="N101" s="23" t="inlineStr">
        <is>
          <t>1 line-card slot</t>
        </is>
      </c>
      <c r="O101" s="23" t="inlineStr">
        <is>
          <t>60W/port</t>
        </is>
      </c>
      <c r="P101" s="23" t="inlineStr">
        <is>
          <t>모든 포트 MACsec</t>
        </is>
      </c>
      <c r="Q101" s="23" t="inlineStr">
        <is>
          <t>현행 공식 데이터시트 주문정보</t>
        </is>
      </c>
      <c r="R101" s="24" t="inlineStr">
        <is>
          <t>https://www.arista.com/en/products/platforms</t>
        </is>
      </c>
      <c r="S101" s="24" t="inlineStr">
        <is>
          <t>https://www.arista.com/assets/data/pdf/Datasheets/CCS-750-Series-Datasheet.pdf</t>
        </is>
      </c>
      <c r="T101" s="23" t="inlineStr">
        <is>
          <t>mGig PoE line card</t>
        </is>
      </c>
      <c r="U101" s="53" t="inlineStr">
        <is>
          <t>48x100M/1G/2.5G RJ45</t>
        </is>
      </c>
      <c r="V101" s="53" t="inlineStr">
        <is>
          <t>Chassis Switch Card: 1.6 Tbps (758) / 1.15 Tbps (755)</t>
        </is>
      </c>
      <c r="W101" s="53" t="inlineStr">
        <is>
          <t>850 Mpps (chassis)</t>
        </is>
      </c>
      <c r="X101" s="53" t="inlineStr">
        <is>
          <t>&lt;1 µs (chassis)</t>
        </is>
      </c>
      <c r="Y101" s="53" t="inlineStr">
        <is>
          <t>Quad-core x86 (Supervisor; not on line card)</t>
        </is>
      </c>
      <c r="Z101" s="53" t="inlineStr">
        <is>
          <t>16 GB (Supervisor; not on line card)</t>
        </is>
      </c>
      <c r="AA101" s="53" t="inlineStr">
        <is>
          <t>120 GB storage (Supervisor; not on line card)</t>
        </is>
      </c>
      <c r="AB101" s="53" t="inlineStr">
        <is>
          <t>32 MB shared (Switch Card)</t>
        </is>
      </c>
      <c r="AC101" s="53" t="inlineStr">
        <is>
          <t>Chassis: 758=10 / 755=6; hot-swappable</t>
        </is>
      </c>
      <c r="AD101" s="53" t="inlineStr">
        <is>
          <t>Chassis: 758=8 / 755=6; hot-swappable</t>
        </is>
      </c>
      <c r="AE101" s="53" t="inlineStr">
        <is>
          <t>No — front-to-rear chassis airflow</t>
        </is>
      </c>
    </row>
    <row r="102" ht="72" customHeight="1">
      <c r="A102" s="17" t="n">
        <v>97</v>
      </c>
      <c r="B102" s="42" t="inlineStr">
        <is>
          <t>CCS</t>
        </is>
      </c>
      <c r="C102" s="19" t="inlineStr">
        <is>
          <t>750X</t>
        </is>
      </c>
      <c r="D102" s="19" t="inlineStr">
        <is>
          <t>CCS-750X-48ZXP-LC</t>
        </is>
      </c>
      <c r="E102" s="19" t="inlineStr">
        <is>
          <t>CCS-758-CH 및 CCS-755-CH 호환</t>
        </is>
      </c>
      <c r="F102" s="19" t="inlineStr">
        <is>
          <t>모듈형 라인카드</t>
        </is>
      </c>
      <c r="G102" s="19" t="inlineStr">
        <is>
          <t>Campus access/distribution</t>
        </is>
      </c>
      <c r="H102" s="17" t="inlineStr">
        <is>
          <t>-</t>
        </is>
      </c>
      <c r="I102" s="17" t="inlineStr">
        <is>
          <t>-</t>
        </is>
      </c>
      <c r="J102" s="20" t="inlineStr">
        <is>
          <t>주력</t>
        </is>
      </c>
      <c r="K102" s="19" t="inlineStr">
        <is>
          <t>48x1/2.5/5/10G RJ45</t>
        </is>
      </c>
      <c r="L102" s="19" t="inlineStr">
        <is>
          <t>섀시 switch card 공유</t>
        </is>
      </c>
      <c r="M102" s="19" t="inlineStr">
        <is>
          <t>섀시 기준</t>
        </is>
      </c>
      <c r="N102" s="19" t="inlineStr">
        <is>
          <t>1 line-card slot</t>
        </is>
      </c>
      <c r="O102" s="19" t="inlineStr">
        <is>
          <t>60W/port</t>
        </is>
      </c>
      <c r="P102" s="19" t="inlineStr">
        <is>
          <t>모든 포트 MACsec</t>
        </is>
      </c>
      <c r="Q102" s="19" t="inlineStr">
        <is>
          <t>현행 공식 데이터시트 주문정보</t>
        </is>
      </c>
      <c r="R102" s="21" t="inlineStr">
        <is>
          <t>https://www.arista.com/en/products/platforms</t>
        </is>
      </c>
      <c r="S102" s="21" t="inlineStr">
        <is>
          <t>https://www.arista.com/assets/data/pdf/Datasheets/CCS-750-Series-Datasheet.pdf</t>
        </is>
      </c>
      <c r="T102" s="19" t="inlineStr">
        <is>
          <t>10mGig PoE line card</t>
        </is>
      </c>
      <c r="U102" s="51" t="inlineStr">
        <is>
          <t>48x1/2.5/5/10G RJ45</t>
        </is>
      </c>
      <c r="V102" s="51" t="inlineStr">
        <is>
          <t>Chassis Switch Card: 1.6 Tbps (758) / 1.15 Tbps (755)</t>
        </is>
      </c>
      <c r="W102" s="51" t="inlineStr">
        <is>
          <t>850 Mpps (chassis)</t>
        </is>
      </c>
      <c r="X102" s="51" t="inlineStr">
        <is>
          <t>&lt;1 µs (chassis)</t>
        </is>
      </c>
      <c r="Y102" s="51" t="inlineStr">
        <is>
          <t>Quad-core x86 (Supervisor; not on line card)</t>
        </is>
      </c>
      <c r="Z102" s="51" t="inlineStr">
        <is>
          <t>16 GB (Supervisor; not on line card)</t>
        </is>
      </c>
      <c r="AA102" s="51" t="inlineStr">
        <is>
          <t>120 GB storage (Supervisor; not on line card)</t>
        </is>
      </c>
      <c r="AB102" s="51" t="inlineStr">
        <is>
          <t>32 MB shared (Switch Card)</t>
        </is>
      </c>
      <c r="AC102" s="51" t="inlineStr">
        <is>
          <t>Chassis: 758=10 / 755=6; hot-swappable</t>
        </is>
      </c>
      <c r="AD102" s="51" t="inlineStr">
        <is>
          <t>Chassis: 758=8 / 755=6; hot-swappable</t>
        </is>
      </c>
      <c r="AE102" s="51" t="inlineStr">
        <is>
          <t>No — front-to-rear chassis airflow</t>
        </is>
      </c>
    </row>
    <row r="103" ht="72" customHeight="1">
      <c r="A103" s="22" t="n">
        <v>98</v>
      </c>
      <c r="B103" s="42" t="inlineStr">
        <is>
          <t>CCS</t>
        </is>
      </c>
      <c r="C103" s="23" t="inlineStr">
        <is>
          <t>750X</t>
        </is>
      </c>
      <c r="D103" s="23" t="inlineStr">
        <is>
          <t>CCS-750XPM-48TXH-LC</t>
        </is>
      </c>
      <c r="E103" s="23" t="inlineStr">
        <is>
          <t>CCS-758-CH 및 CCS-755-CH 호환</t>
        </is>
      </c>
      <c r="F103" s="23" t="inlineStr">
        <is>
          <t>모듈형 라인카드</t>
        </is>
      </c>
      <c r="G103" s="23" t="inlineStr">
        <is>
          <t>Campus access/distribution</t>
        </is>
      </c>
      <c r="H103" s="22" t="inlineStr">
        <is>
          <t>-</t>
        </is>
      </c>
      <c r="I103" s="22" t="inlineStr">
        <is>
          <t>-</t>
        </is>
      </c>
      <c r="J103" s="20" t="inlineStr">
        <is>
          <t>주력</t>
        </is>
      </c>
      <c r="K103" s="23" t="inlineStr">
        <is>
          <t>48x100M/1/2.5/5/10G RJ45</t>
        </is>
      </c>
      <c r="L103" s="23" t="inlineStr">
        <is>
          <t>섀시 switch card 공유</t>
        </is>
      </c>
      <c r="M103" s="23" t="inlineStr">
        <is>
          <t>섀시 기준</t>
        </is>
      </c>
      <c r="N103" s="23" t="inlineStr">
        <is>
          <t>1 line-card slot</t>
        </is>
      </c>
      <c r="O103" s="23" t="inlineStr">
        <is>
          <t>90W/port</t>
        </is>
      </c>
      <c r="P103" s="23" t="inlineStr">
        <is>
          <t>모든 포트 MACsec</t>
        </is>
      </c>
      <c r="Q103" s="23" t="inlineStr">
        <is>
          <t>현행 공식 데이터시트 주문정보</t>
        </is>
      </c>
      <c r="R103" s="24" t="inlineStr">
        <is>
          <t>https://www.arista.com/en/products/platforms</t>
        </is>
      </c>
      <c r="S103" s="24" t="inlineStr">
        <is>
          <t>https://www.arista.com/assets/data/pdf/Datasheets/CCS-750-Series-Datasheet.pdf</t>
        </is>
      </c>
      <c r="T103" s="23" t="inlineStr">
        <is>
          <t>10mGig 90W PoE line card</t>
        </is>
      </c>
      <c r="U103" s="53" t="inlineStr">
        <is>
          <t>48x100M/1/2.5/5/10G RJ45</t>
        </is>
      </c>
      <c r="V103" s="53" t="inlineStr">
        <is>
          <t>Chassis Switch Card: 1.6 Tbps (758) / 1.15 Tbps (755)</t>
        </is>
      </c>
      <c r="W103" s="53" t="inlineStr">
        <is>
          <t>850 Mpps (chassis)</t>
        </is>
      </c>
      <c r="X103" s="53" t="inlineStr">
        <is>
          <t>&lt;1 µs (chassis)</t>
        </is>
      </c>
      <c r="Y103" s="53" t="inlineStr">
        <is>
          <t>Quad-core x86 (Supervisor; not on line card)</t>
        </is>
      </c>
      <c r="Z103" s="53" t="inlineStr">
        <is>
          <t>16 GB (Supervisor; not on line card)</t>
        </is>
      </c>
      <c r="AA103" s="53" t="inlineStr">
        <is>
          <t>120 GB storage (Supervisor; not on line card)</t>
        </is>
      </c>
      <c r="AB103" s="53" t="inlineStr">
        <is>
          <t>32 MB shared (Switch Card)</t>
        </is>
      </c>
      <c r="AC103" s="53" t="inlineStr">
        <is>
          <t>Chassis: 758=10 / 755=6; hot-swappable</t>
        </is>
      </c>
      <c r="AD103" s="53" t="inlineStr">
        <is>
          <t>Chassis: 758=8 / 755=6; hot-swappable</t>
        </is>
      </c>
      <c r="AE103" s="53" t="inlineStr">
        <is>
          <t>No — front-to-rear chassis airflow</t>
        </is>
      </c>
    </row>
    <row r="104" ht="72" customHeight="1">
      <c r="A104" s="17" t="n">
        <v>99</v>
      </c>
      <c r="B104" s="42" t="inlineStr">
        <is>
          <t>CCS</t>
        </is>
      </c>
      <c r="C104" s="19" t="inlineStr">
        <is>
          <t>750X</t>
        </is>
      </c>
      <c r="D104" s="19" t="inlineStr">
        <is>
          <t>CCS-750XPM-48NH-LC</t>
        </is>
      </c>
      <c r="E104" s="19" t="inlineStr">
        <is>
          <t>CCS-758-CH 및 CCS-755-CH 호환</t>
        </is>
      </c>
      <c r="F104" s="19" t="inlineStr">
        <is>
          <t>모듈형 라인카드</t>
        </is>
      </c>
      <c r="G104" s="19" t="inlineStr">
        <is>
          <t>Campus access/distribution</t>
        </is>
      </c>
      <c r="H104" s="17" t="inlineStr">
        <is>
          <t>-</t>
        </is>
      </c>
      <c r="I104" s="17" t="inlineStr">
        <is>
          <t>-</t>
        </is>
      </c>
      <c r="J104" s="20" t="inlineStr">
        <is>
          <t>주력</t>
        </is>
      </c>
      <c r="K104" s="19" t="inlineStr">
        <is>
          <t>48x100M/1/2.5/5G RJ45</t>
        </is>
      </c>
      <c r="L104" s="19" t="inlineStr">
        <is>
          <t>섀시 switch card 공유</t>
        </is>
      </c>
      <c r="M104" s="19" t="inlineStr">
        <is>
          <t>섀시 기준</t>
        </is>
      </c>
      <c r="N104" s="19" t="inlineStr">
        <is>
          <t>1 line-card slot</t>
        </is>
      </c>
      <c r="O104" s="19" t="inlineStr">
        <is>
          <t>90W/port</t>
        </is>
      </c>
      <c r="P104" s="19" t="inlineStr">
        <is>
          <t>모든 포트 MACsec</t>
        </is>
      </c>
      <c r="Q104" s="19" t="inlineStr">
        <is>
          <t>현행 공식 데이터시트 주문정보</t>
        </is>
      </c>
      <c r="R104" s="21" t="inlineStr">
        <is>
          <t>https://www.arista.com/en/products/platforms</t>
        </is>
      </c>
      <c r="S104" s="21" t="inlineStr">
        <is>
          <t>https://www.arista.com/assets/data/pdf/Datasheets/CCS-750-Series-Datasheet.pdf</t>
        </is>
      </c>
      <c r="T104" s="19" t="inlineStr">
        <is>
          <t>5mGig 90W PoE line card</t>
        </is>
      </c>
      <c r="U104" s="51" t="inlineStr">
        <is>
          <t>48x100M/1/2.5/5G RJ45</t>
        </is>
      </c>
      <c r="V104" s="51" t="inlineStr">
        <is>
          <t>Chassis Switch Card: 1.6 Tbps (758) / 1.15 Tbps (755)</t>
        </is>
      </c>
      <c r="W104" s="51" t="inlineStr">
        <is>
          <t>850 Mpps (chassis)</t>
        </is>
      </c>
      <c r="X104" s="51" t="inlineStr">
        <is>
          <t>&lt;1 µs (chassis)</t>
        </is>
      </c>
      <c r="Y104" s="51" t="inlineStr">
        <is>
          <t>Quad-core x86 (Supervisor; not on line card)</t>
        </is>
      </c>
      <c r="Z104" s="51" t="inlineStr">
        <is>
          <t>16 GB (Supervisor; not on line card)</t>
        </is>
      </c>
      <c r="AA104" s="51" t="inlineStr">
        <is>
          <t>120 GB storage (Supervisor; not on line card)</t>
        </is>
      </c>
      <c r="AB104" s="51" t="inlineStr">
        <is>
          <t>32 MB shared (Switch Card)</t>
        </is>
      </c>
      <c r="AC104" s="51" t="inlineStr">
        <is>
          <t>Chassis: 758=10 / 755=6; hot-swappable</t>
        </is>
      </c>
      <c r="AD104" s="51" t="inlineStr">
        <is>
          <t>Chassis: 758=8 / 755=6; hot-swappable</t>
        </is>
      </c>
      <c r="AE104" s="51" t="inlineStr">
        <is>
          <t>No — front-to-rear chassis airflow</t>
        </is>
      </c>
    </row>
    <row r="105" ht="72" customHeight="1">
      <c r="A105" s="22" t="n">
        <v>100</v>
      </c>
      <c r="B105" s="42" t="inlineStr">
        <is>
          <t>CCS</t>
        </is>
      </c>
      <c r="C105" s="23" t="inlineStr">
        <is>
          <t>750X</t>
        </is>
      </c>
      <c r="D105" s="23" t="inlineStr">
        <is>
          <t>CCS-750XM-48TX-LC</t>
        </is>
      </c>
      <c r="E105" s="23" t="inlineStr">
        <is>
          <t>CCS-758-CH 및 CCS-755-CH 호환</t>
        </is>
      </c>
      <c r="F105" s="23" t="inlineStr">
        <is>
          <t>모듈형 라인카드</t>
        </is>
      </c>
      <c r="G105" s="23" t="inlineStr">
        <is>
          <t>Campus access/distribution</t>
        </is>
      </c>
      <c r="H105" s="22" t="inlineStr">
        <is>
          <t>-</t>
        </is>
      </c>
      <c r="I105" s="22" t="inlineStr">
        <is>
          <t>-</t>
        </is>
      </c>
      <c r="J105" s="20" t="inlineStr">
        <is>
          <t>주력</t>
        </is>
      </c>
      <c r="K105" s="23" t="inlineStr">
        <is>
          <t>48x100M/1/2.5/5/10G RJ45</t>
        </is>
      </c>
      <c r="L105" s="23" t="inlineStr">
        <is>
          <t>섀시 switch card 공유</t>
        </is>
      </c>
      <c r="M105" s="23" t="inlineStr">
        <is>
          <t>섀시 기준</t>
        </is>
      </c>
      <c r="N105" s="23" t="inlineStr">
        <is>
          <t>1 line-card slot</t>
        </is>
      </c>
      <c r="O105" s="23" t="inlineStr">
        <is>
          <t>비PoE</t>
        </is>
      </c>
      <c r="P105" s="23" t="inlineStr">
        <is>
          <t>모든 포트 MACsec</t>
        </is>
      </c>
      <c r="Q105" s="23" t="inlineStr">
        <is>
          <t>현행 공식 데이터시트 주문정보</t>
        </is>
      </c>
      <c r="R105" s="24" t="inlineStr">
        <is>
          <t>https://www.arista.com/en/products/platforms</t>
        </is>
      </c>
      <c r="S105" s="24" t="inlineStr">
        <is>
          <t>https://www.arista.com/assets/data/pdf/Datasheets/CCS-750-Series-Datasheet.pdf</t>
        </is>
      </c>
      <c r="T105" s="23" t="inlineStr">
        <is>
          <t>10G-T non-PoE line card</t>
        </is>
      </c>
      <c r="U105" s="53" t="inlineStr">
        <is>
          <t>48x100M/1/2.5/5/10G RJ45</t>
        </is>
      </c>
      <c r="V105" s="53" t="inlineStr">
        <is>
          <t>Chassis Switch Card: 1.6 Tbps (758) / 1.15 Tbps (755)</t>
        </is>
      </c>
      <c r="W105" s="53" t="inlineStr">
        <is>
          <t>850 Mpps (chassis)</t>
        </is>
      </c>
      <c r="X105" s="53" t="inlineStr">
        <is>
          <t>&lt;1 µs (chassis)</t>
        </is>
      </c>
      <c r="Y105" s="53" t="inlineStr">
        <is>
          <t>Quad-core x86 (Supervisor; not on line card)</t>
        </is>
      </c>
      <c r="Z105" s="53" t="inlineStr">
        <is>
          <t>16 GB (Supervisor; not on line card)</t>
        </is>
      </c>
      <c r="AA105" s="53" t="inlineStr">
        <is>
          <t>120 GB storage (Supervisor; not on line card)</t>
        </is>
      </c>
      <c r="AB105" s="53" t="inlineStr">
        <is>
          <t>32 MB shared (Switch Card)</t>
        </is>
      </c>
      <c r="AC105" s="53" t="inlineStr">
        <is>
          <t>Chassis: 758=10 / 755=6; hot-swappable</t>
        </is>
      </c>
      <c r="AD105" s="53" t="inlineStr">
        <is>
          <t>Chassis: 758=8 / 755=6; hot-swappable</t>
        </is>
      </c>
      <c r="AE105" s="53" t="inlineStr">
        <is>
          <t>No — front-to-rear chassis airflow</t>
        </is>
      </c>
    </row>
    <row r="106" ht="72" customHeight="1">
      <c r="A106" s="17" t="n">
        <v>101</v>
      </c>
      <c r="B106" s="42" t="inlineStr">
        <is>
          <t>CCS</t>
        </is>
      </c>
      <c r="C106" s="19" t="inlineStr">
        <is>
          <t>750X</t>
        </is>
      </c>
      <c r="D106" s="19" t="inlineStr">
        <is>
          <t>CCS-750X-48SX-LC</t>
        </is>
      </c>
      <c r="E106" s="19" t="inlineStr">
        <is>
          <t>CCS-758-CH 및 CCS-755-CH 호환</t>
        </is>
      </c>
      <c r="F106" s="19" t="inlineStr">
        <is>
          <t>모듈형 라인카드</t>
        </is>
      </c>
      <c r="G106" s="19" t="inlineStr">
        <is>
          <t>Campus access/distribution</t>
        </is>
      </c>
      <c r="H106" s="17" t="inlineStr">
        <is>
          <t>-</t>
        </is>
      </c>
      <c r="I106" s="17" t="inlineStr">
        <is>
          <t>-</t>
        </is>
      </c>
      <c r="J106" s="20" t="inlineStr">
        <is>
          <t>주력</t>
        </is>
      </c>
      <c r="K106" s="19" t="inlineStr">
        <is>
          <t>48x1/10G SFP+</t>
        </is>
      </c>
      <c r="L106" s="19" t="inlineStr">
        <is>
          <t>섀시 switch card 공유</t>
        </is>
      </c>
      <c r="M106" s="19" t="inlineStr">
        <is>
          <t>섀시 기준</t>
        </is>
      </c>
      <c r="N106" s="19" t="inlineStr">
        <is>
          <t>1 line-card slot</t>
        </is>
      </c>
      <c r="O106" s="19" t="inlineStr">
        <is>
          <t>비PoE</t>
        </is>
      </c>
      <c r="P106" s="19" t="inlineStr">
        <is>
          <t>모든 포트 MACsec</t>
        </is>
      </c>
      <c r="Q106" s="19" t="inlineStr">
        <is>
          <t>현행 공식 데이터시트 주문정보</t>
        </is>
      </c>
      <c r="R106" s="21" t="inlineStr">
        <is>
          <t>https://www.arista.com/en/products/platforms</t>
        </is>
      </c>
      <c r="S106" s="21" t="inlineStr">
        <is>
          <t>https://www.arista.com/assets/data/pdf/Datasheets/CCS-750-Series-Datasheet.pdf</t>
        </is>
      </c>
      <c r="T106" s="19" t="inlineStr">
        <is>
          <t>Fiber non-PoE line card</t>
        </is>
      </c>
      <c r="U106" s="51" t="inlineStr">
        <is>
          <t>48x1/10G SFP+</t>
        </is>
      </c>
      <c r="V106" s="51" t="inlineStr">
        <is>
          <t>Chassis Switch Card: 1.6 Tbps (758) / 1.15 Tbps (755)</t>
        </is>
      </c>
      <c r="W106" s="51" t="inlineStr">
        <is>
          <t>850 Mpps (chassis)</t>
        </is>
      </c>
      <c r="X106" s="51" t="inlineStr">
        <is>
          <t>&lt;1 µs (chassis)</t>
        </is>
      </c>
      <c r="Y106" s="51" t="inlineStr">
        <is>
          <t>Quad-core x86 (Supervisor; not on line card)</t>
        </is>
      </c>
      <c r="Z106" s="51" t="inlineStr">
        <is>
          <t>16 GB (Supervisor; not on line card)</t>
        </is>
      </c>
      <c r="AA106" s="51" t="inlineStr">
        <is>
          <t>120 GB storage (Supervisor; not on line card)</t>
        </is>
      </c>
      <c r="AB106" s="51" t="inlineStr">
        <is>
          <t>32 MB shared (Switch Card)</t>
        </is>
      </c>
      <c r="AC106" s="51" t="inlineStr">
        <is>
          <t>Chassis: 758=10 / 755=6; hot-swappable</t>
        </is>
      </c>
      <c r="AD106" s="51" t="inlineStr">
        <is>
          <t>Chassis: 758=8 / 755=6; hot-swappable</t>
        </is>
      </c>
      <c r="AE106" s="51" t="inlineStr">
        <is>
          <t>No — front-to-rear chassis airflow</t>
        </is>
      </c>
    </row>
    <row r="107" ht="72" customHeight="1">
      <c r="A107" s="22" t="n">
        <v>102</v>
      </c>
      <c r="B107" s="42" t="inlineStr">
        <is>
          <t>CCS</t>
        </is>
      </c>
      <c r="C107" s="23" t="inlineStr">
        <is>
          <t>750X</t>
        </is>
      </c>
      <c r="D107" s="23" t="inlineStr">
        <is>
          <t>CCS-750X-48T-LC</t>
        </is>
      </c>
      <c r="E107" s="23" t="inlineStr">
        <is>
          <t>CCS-758-CH 및 CCS-755-CH 호환</t>
        </is>
      </c>
      <c r="F107" s="23" t="inlineStr">
        <is>
          <t>모듈형 라인카드</t>
        </is>
      </c>
      <c r="G107" s="23" t="inlineStr">
        <is>
          <t>Campus access/distribution</t>
        </is>
      </c>
      <c r="H107" s="22" t="inlineStr">
        <is>
          <t>-</t>
        </is>
      </c>
      <c r="I107" s="22" t="inlineStr">
        <is>
          <t>-</t>
        </is>
      </c>
      <c r="J107" s="20" t="inlineStr">
        <is>
          <t>주력</t>
        </is>
      </c>
      <c r="K107" s="23" t="inlineStr">
        <is>
          <t>48x10/100/1000 RJ45</t>
        </is>
      </c>
      <c r="L107" s="23" t="inlineStr">
        <is>
          <t>섀시 switch card 공유</t>
        </is>
      </c>
      <c r="M107" s="23" t="inlineStr">
        <is>
          <t>섀시 기준</t>
        </is>
      </c>
      <c r="N107" s="23" t="inlineStr">
        <is>
          <t>1 line-card slot</t>
        </is>
      </c>
      <c r="O107" s="23" t="inlineStr">
        <is>
          <t>비PoE</t>
        </is>
      </c>
      <c r="P107" s="23" t="inlineStr">
        <is>
          <t>모든 포트 MACsec</t>
        </is>
      </c>
      <c r="Q107" s="23" t="inlineStr">
        <is>
          <t>현행 공식 데이터시트 주문정보</t>
        </is>
      </c>
      <c r="R107" s="24" t="inlineStr">
        <is>
          <t>https://www.arista.com/en/products/platforms</t>
        </is>
      </c>
      <c r="S107" s="24" t="inlineStr">
        <is>
          <t>https://www.arista.com/assets/data/pdf/Datasheets/CCS-750-Series-Datasheet.pdf</t>
        </is>
      </c>
      <c r="T107" s="23" t="inlineStr">
        <is>
          <t>1G non-PoE line card</t>
        </is>
      </c>
      <c r="U107" s="53" t="inlineStr">
        <is>
          <t>48x10/100/1000 RJ45</t>
        </is>
      </c>
      <c r="V107" s="53" t="inlineStr">
        <is>
          <t>Chassis Switch Card: 1.6 Tbps (758) / 1.15 Tbps (755)</t>
        </is>
      </c>
      <c r="W107" s="53" t="inlineStr">
        <is>
          <t>850 Mpps (chassis)</t>
        </is>
      </c>
      <c r="X107" s="53" t="inlineStr">
        <is>
          <t>&lt;1 µs (chassis)</t>
        </is>
      </c>
      <c r="Y107" s="53" t="inlineStr">
        <is>
          <t>Quad-core x86 (Supervisor; not on line card)</t>
        </is>
      </c>
      <c r="Z107" s="53" t="inlineStr">
        <is>
          <t>16 GB (Supervisor; not on line card)</t>
        </is>
      </c>
      <c r="AA107" s="53" t="inlineStr">
        <is>
          <t>120 GB storage (Supervisor; not on line card)</t>
        </is>
      </c>
      <c r="AB107" s="53" t="inlineStr">
        <is>
          <t>32 MB shared (Switch Card)</t>
        </is>
      </c>
      <c r="AC107" s="53" t="inlineStr">
        <is>
          <t>Chassis: 758=10 / 755=6; hot-swappable</t>
        </is>
      </c>
      <c r="AD107" s="53" t="inlineStr">
        <is>
          <t>Chassis: 758=8 / 755=6; hot-swappable</t>
        </is>
      </c>
      <c r="AE107" s="53" t="inlineStr">
        <is>
          <t>No — front-to-rear chassis airflow</t>
        </is>
      </c>
    </row>
    <row r="108" ht="72" customHeight="1">
      <c r="A108" s="25" t="n">
        <v>103</v>
      </c>
      <c r="B108" s="41" t="inlineStr">
        <is>
          <t>CCS</t>
        </is>
      </c>
      <c r="C108" s="27" t="inlineStr">
        <is>
          <t>710HXP</t>
        </is>
      </c>
      <c r="D108" s="27" t="inlineStr">
        <is>
          <t>CCS-710HXP-28TXH-4S</t>
        </is>
      </c>
      <c r="E108" s="27" t="inlineStr"/>
      <c r="F108" s="27" t="inlineStr">
        <is>
          <t>산업용 1RU fanless</t>
        </is>
      </c>
      <c r="G108" s="27" t="inlineStr">
        <is>
          <t>Harsh environment campus/industrial edge</t>
        </is>
      </c>
      <c r="H108" s="25" t="inlineStr">
        <is>
          <t>-</t>
        </is>
      </c>
      <c r="I108" s="25" t="inlineStr">
        <is>
          <t>-</t>
        </is>
      </c>
      <c r="J108" s="29" t="inlineStr">
        <is>
          <t>주력</t>
        </is>
      </c>
      <c r="K108" s="27" t="inlineStr">
        <is>
          <t>24x1G 60W + 4x10mGig 90W + 4x10G SFP+</t>
        </is>
      </c>
      <c r="L108" s="27" t="inlineStr">
        <is>
          <t>데이터시트 참조</t>
        </is>
      </c>
      <c r="M108" s="27" t="inlineStr">
        <is>
          <t>데이터시트 참조</t>
        </is>
      </c>
      <c r="N108" s="27" t="inlineStr">
        <is>
          <t>1RU</t>
        </is>
      </c>
      <c r="O108" s="27" t="inlineStr">
        <is>
          <t>최대 90W</t>
        </is>
      </c>
      <c r="P108" s="27" t="inlineStr">
        <is>
          <t>MACsec; 데이터시트 참조</t>
        </is>
      </c>
      <c r="Q108" s="27" t="inlineStr">
        <is>
          <t>현행 공식 플랫폼/데이터시트 등재</t>
        </is>
      </c>
      <c r="R108" s="30" t="inlineStr">
        <is>
          <t>https://www.arista.com/en/products/platforms</t>
        </is>
      </c>
      <c r="S108" s="30" t="inlineStr">
        <is>
          <t>https://www.arista.com/assets/data/pdf/Datasheets/CCS-710HXP-Datasheet.pdf</t>
        </is>
      </c>
      <c r="T108" s="27" t="inlineStr">
        <is>
          <t>IP30 ruggedized, fanless</t>
        </is>
      </c>
      <c r="U108" s="54" t="inlineStr">
        <is>
          <t>24x1G RJ45 + 4x10mG RJ45 + 4x1/10G SFP+</t>
        </is>
      </c>
      <c r="V108" s="54" t="inlineStr">
        <is>
          <t>208 Gbps (FDX)</t>
        </is>
      </c>
      <c r="W108" s="54" t="inlineStr">
        <is>
          <t>95 Mpps</t>
        </is>
      </c>
      <c r="X108" s="54" t="inlineStr">
        <is>
          <t>1.8 µs</t>
        </is>
      </c>
      <c r="Y108" s="54" t="inlineStr">
        <is>
          <t>Quad-core ARM</t>
        </is>
      </c>
      <c r="Z108" s="54" t="inlineStr">
        <is>
          <t>8 GB</t>
        </is>
      </c>
      <c r="AA108" s="54" t="inlineStr">
        <is>
          <t>20 GB</t>
        </is>
      </c>
      <c r="AB108" s="54" t="inlineStr">
        <is>
          <t>1.5 MB</t>
        </is>
      </c>
      <c r="AC108" s="54" t="inlineStr">
        <is>
          <t>Yes; 2x400W internal AC/HVDC (1+1)</t>
        </is>
      </c>
      <c r="AD108" s="56" t="inlineStr">
        <is>
          <t>N/A — fanless</t>
        </is>
      </c>
      <c r="AE108" s="56" t="inlineStr">
        <is>
          <t>N/A — fanless</t>
        </is>
      </c>
    </row>
    <row r="109" ht="72" customHeight="1">
      <c r="A109" s="22" t="n">
        <v>104</v>
      </c>
      <c r="B109" s="42" t="inlineStr">
        <is>
          <t>CCS</t>
        </is>
      </c>
      <c r="C109" s="23" t="inlineStr">
        <is>
          <t>710HXP</t>
        </is>
      </c>
      <c r="D109" s="23" t="inlineStr">
        <is>
          <t>CCS-710HXP-20TNH-4S</t>
        </is>
      </c>
      <c r="E109" s="23" t="inlineStr"/>
      <c r="F109" s="23" t="inlineStr">
        <is>
          <t>DIN-rail fanless</t>
        </is>
      </c>
      <c r="G109" s="23" t="inlineStr">
        <is>
          <t>Industrial/DIN-rail edge</t>
        </is>
      </c>
      <c r="H109" s="22" t="inlineStr">
        <is>
          <t>-</t>
        </is>
      </c>
      <c r="I109" s="22" t="inlineStr">
        <is>
          <t>-</t>
        </is>
      </c>
      <c r="J109" s="20" t="inlineStr">
        <is>
          <t>주력</t>
        </is>
      </c>
      <c r="K109" s="23" t="inlineStr">
        <is>
          <t>16x1G 30W + 4x5mGig 90W + 4x10G SFP+</t>
        </is>
      </c>
      <c r="L109" s="23" t="inlineStr">
        <is>
          <t>데이터시트 참조</t>
        </is>
      </c>
      <c r="M109" s="23" t="inlineStr">
        <is>
          <t>데이터시트 참조</t>
        </is>
      </c>
      <c r="N109" s="23" t="inlineStr">
        <is>
          <t>DIN rail</t>
        </is>
      </c>
      <c r="O109" s="23" t="inlineStr">
        <is>
          <t>최대 90W</t>
        </is>
      </c>
      <c r="P109" s="23" t="inlineStr">
        <is>
          <t>MACsec; 데이터시트 참조</t>
        </is>
      </c>
      <c r="Q109" s="23" t="inlineStr">
        <is>
          <t>현행 공식 플랫폼/데이터시트 등재</t>
        </is>
      </c>
      <c r="R109" s="24" t="inlineStr">
        <is>
          <t>https://www.arista.com/en/products/platforms</t>
        </is>
      </c>
      <c r="S109" s="24" t="inlineStr">
        <is>
          <t>https://www.arista.com/assets/data/pdf/Datasheets/CCS-710HXP-Datasheet.pdf</t>
        </is>
      </c>
      <c r="T109" s="23" t="inlineStr">
        <is>
          <t>IP50 ruggedized, fanless</t>
        </is>
      </c>
      <c r="U109" s="53" t="inlineStr">
        <is>
          <t>16x1G RJ45 + 4x5mG RJ45 + 4x1/10G SFP+</t>
        </is>
      </c>
      <c r="V109" s="53" t="inlineStr">
        <is>
          <t>144 Gbps (FDX)</t>
        </is>
      </c>
      <c r="W109" s="53" t="inlineStr">
        <is>
          <t>95 Mpps</t>
        </is>
      </c>
      <c r="X109" s="53" t="inlineStr">
        <is>
          <t>1.8 µs</t>
        </is>
      </c>
      <c r="Y109" s="53" t="inlineStr">
        <is>
          <t>Quad-core ARM</t>
        </is>
      </c>
      <c r="Z109" s="53" t="inlineStr">
        <is>
          <t>8 GB</t>
        </is>
      </c>
      <c r="AA109" s="53" t="inlineStr">
        <is>
          <t>20 GB</t>
        </is>
      </c>
      <c r="AB109" s="53" t="inlineStr">
        <is>
          <t>1.5 MB</t>
        </is>
      </c>
      <c r="AC109" s="53" t="inlineStr">
        <is>
          <t>External; up to 2x480W AC or 2x290W DC (1+1)</t>
        </is>
      </c>
      <c r="AD109" s="52" t="inlineStr">
        <is>
          <t>N/A — fanless</t>
        </is>
      </c>
      <c r="AE109" s="52" t="inlineStr">
        <is>
          <t>N/A — fanless</t>
        </is>
      </c>
    </row>
    <row r="110" ht="72" customHeight="1">
      <c r="A110" s="25" t="n">
        <v>105</v>
      </c>
      <c r="B110" s="41" t="inlineStr">
        <is>
          <t>CCS</t>
        </is>
      </c>
      <c r="C110" s="27" t="inlineStr">
        <is>
          <t>710XP</t>
        </is>
      </c>
      <c r="D110" s="27" t="inlineStr">
        <is>
          <t>CCS-710XP-12TH-2S</t>
        </is>
      </c>
      <c r="E110" s="27" t="inlineStr"/>
      <c r="F110" s="27" t="inlineStr">
        <is>
          <t>compact fanless</t>
        </is>
      </c>
      <c r="G110" s="27" t="inlineStr">
        <is>
          <t>Small campus/branch access, IoT</t>
        </is>
      </c>
      <c r="H110" s="25" t="inlineStr">
        <is>
          <t>-</t>
        </is>
      </c>
      <c r="I110" s="25" t="inlineStr">
        <is>
          <t>-</t>
        </is>
      </c>
      <c r="J110" s="29" t="inlineStr">
        <is>
          <t>주력</t>
        </is>
      </c>
      <c r="K110" s="27" t="inlineStr">
        <is>
          <t>8x1G 30W + 4x1G 60W + 2x10G SFP+</t>
        </is>
      </c>
      <c r="L110" s="27" t="inlineStr">
        <is>
          <t>데이터시트 참조</t>
        </is>
      </c>
      <c r="M110" s="27" t="inlineStr">
        <is>
          <t>데이터시트 참조</t>
        </is>
      </c>
      <c r="N110" s="27" t="inlineStr">
        <is>
          <t>1RU/desktop</t>
        </is>
      </c>
      <c r="O110" s="27" t="inlineStr">
        <is>
          <t>최대 60W</t>
        </is>
      </c>
      <c r="P110" s="27" t="inlineStr">
        <is>
          <t>데이터시트 참조</t>
        </is>
      </c>
      <c r="Q110" s="27" t="inlineStr">
        <is>
          <t>현행 공식 플랫폼/데이터시트 등재</t>
        </is>
      </c>
      <c r="R110" s="30" t="inlineStr">
        <is>
          <t>https://www.arista.com/en/products/platforms</t>
        </is>
      </c>
      <c r="S110" s="30" t="inlineStr">
        <is>
          <t>https://www.arista.com/assets/data/pdf/Datasheets/CCS-710XP-Datasheet.pdf</t>
        </is>
      </c>
      <c r="T110" s="27" t="inlineStr">
        <is>
          <t>Fanless compact switch</t>
        </is>
      </c>
      <c r="U110" s="54" t="inlineStr">
        <is>
          <t>12xRJ45 (8x30W + 4x60W) + 2x10G SFP+</t>
        </is>
      </c>
      <c r="V110" s="54" t="inlineStr">
        <is>
          <t>64 Gbps (FDX)</t>
        </is>
      </c>
      <c r="W110" s="54" t="inlineStr">
        <is>
          <t>95 Mpps</t>
        </is>
      </c>
      <c r="X110" s="54" t="inlineStr">
        <is>
          <t>1.8 µs</t>
        </is>
      </c>
      <c r="Y110" s="54" t="inlineStr">
        <is>
          <t>Quad-core ARM</t>
        </is>
      </c>
      <c r="Z110" s="54" t="inlineStr">
        <is>
          <t>8 GB</t>
        </is>
      </c>
      <c r="AA110" s="54" t="inlineStr">
        <is>
          <t>20 GB</t>
        </is>
      </c>
      <c r="AB110" s="54" t="inlineStr">
        <is>
          <t>1.5 MB</t>
        </is>
      </c>
      <c r="AC110" s="54" t="inlineStr">
        <is>
          <t>No; single 180W fixed internal PSU</t>
        </is>
      </c>
      <c r="AD110" s="56" t="inlineStr">
        <is>
          <t>N/A — fanless</t>
        </is>
      </c>
      <c r="AE110" s="56" t="inlineStr">
        <is>
          <t>N/A — fanless</t>
        </is>
      </c>
    </row>
    <row r="111" ht="72" customHeight="1">
      <c r="A111" s="22" t="n">
        <v>106</v>
      </c>
      <c r="B111" s="42" t="inlineStr">
        <is>
          <t>CCS</t>
        </is>
      </c>
      <c r="C111" s="23" t="inlineStr">
        <is>
          <t>710XP</t>
        </is>
      </c>
      <c r="D111" s="23" t="inlineStr">
        <is>
          <t>CCS-710XP-28TNH-2S</t>
        </is>
      </c>
      <c r="E111" s="23" t="inlineStr"/>
      <c r="F111" s="23" t="inlineStr">
        <is>
          <t>fixed campus access</t>
        </is>
      </c>
      <c r="G111" s="23" t="inlineStr">
        <is>
          <t>Campus access, AP/IoT edge</t>
        </is>
      </c>
      <c r="H111" s="22" t="inlineStr">
        <is>
          <t>-</t>
        </is>
      </c>
      <c r="I111" s="22" t="inlineStr">
        <is>
          <t>-</t>
        </is>
      </c>
      <c r="J111" s="20" t="inlineStr">
        <is>
          <t>주력</t>
        </is>
      </c>
      <c r="K111" s="23" t="inlineStr">
        <is>
          <t>24x1G 30W + 4x5mGig 90W + 2x10G SFP+</t>
        </is>
      </c>
      <c r="L111" s="23" t="inlineStr">
        <is>
          <t>데이터시트 참조</t>
        </is>
      </c>
      <c r="M111" s="23" t="inlineStr">
        <is>
          <t>데이터시트 참조</t>
        </is>
      </c>
      <c r="N111" s="23" t="inlineStr">
        <is>
          <t>1RU</t>
        </is>
      </c>
      <c r="O111" s="23" t="inlineStr">
        <is>
          <t>최대 90W</t>
        </is>
      </c>
      <c r="P111" s="23" t="inlineStr">
        <is>
          <t>데이터시트 참조</t>
        </is>
      </c>
      <c r="Q111" s="23" t="inlineStr">
        <is>
          <t>현행 공식 플랫폼/데이터시트 등재</t>
        </is>
      </c>
      <c r="R111" s="24" t="inlineStr">
        <is>
          <t>https://www.arista.com/en/products/platforms</t>
        </is>
      </c>
      <c r="S111" s="24" t="inlineStr">
        <is>
          <t>https://www.arista.com/assets/data/pdf/Datasheets/CCS-710XP-Datasheet.pdf</t>
        </is>
      </c>
      <c r="T111" s="23" t="inlineStr">
        <is>
          <t>Multi-gig high-power ports</t>
        </is>
      </c>
      <c r="U111" s="53" t="inlineStr">
        <is>
          <t>24x1G RJ45 + 4x5mG RJ45 + 2x10G SFP+</t>
        </is>
      </c>
      <c r="V111" s="53" t="inlineStr">
        <is>
          <t>128 Gbps (FDX)</t>
        </is>
      </c>
      <c r="W111" s="53" t="inlineStr">
        <is>
          <t>95 Mpps</t>
        </is>
      </c>
      <c r="X111" s="53" t="inlineStr">
        <is>
          <t>1.8 µs</t>
        </is>
      </c>
      <c r="Y111" s="53" t="inlineStr">
        <is>
          <t>Quad-core ARM</t>
        </is>
      </c>
      <c r="Z111" s="53" t="inlineStr">
        <is>
          <t>8 GB</t>
        </is>
      </c>
      <c r="AA111" s="53" t="inlineStr">
        <is>
          <t>20 GB</t>
        </is>
      </c>
      <c r="AB111" s="53" t="inlineStr">
        <is>
          <t>1.5 MB</t>
        </is>
      </c>
      <c r="AC111" s="53" t="inlineStr">
        <is>
          <t>No; single 460W fixed internal PSU</t>
        </is>
      </c>
      <c r="AD111" s="52" t="inlineStr">
        <is>
          <t>Hot-swap not stated; 3 fans (2+1 redundancy)</t>
        </is>
      </c>
      <c r="AE111" s="53" t="inlineStr">
        <is>
          <t>No — front-to-rear model</t>
        </is>
      </c>
    </row>
    <row r="112" ht="72" customHeight="1">
      <c r="A112" s="25" t="n">
        <v>107</v>
      </c>
      <c r="B112" s="41" t="inlineStr">
        <is>
          <t>CCS</t>
        </is>
      </c>
      <c r="C112" s="27" t="inlineStr">
        <is>
          <t>720XPM/XDM</t>
        </is>
      </c>
      <c r="D112" s="27" t="inlineStr">
        <is>
          <t>CCS-720XPM-48TH-6SY</t>
        </is>
      </c>
      <c r="E112" s="27" t="inlineStr"/>
      <c r="F112" s="27" t="inlineStr">
        <is>
          <t>fixed campus access</t>
        </is>
      </c>
      <c r="G112" s="27" t="inlineStr">
        <is>
          <t>High-power campus access for Wi-Fi 6E/7 and IoT</t>
        </is>
      </c>
      <c r="H112" s="25" t="inlineStr">
        <is>
          <t>-</t>
        </is>
      </c>
      <c r="I112" s="25" t="inlineStr">
        <is>
          <t>-</t>
        </is>
      </c>
      <c r="J112" s="29" t="inlineStr">
        <is>
          <t>주력</t>
        </is>
      </c>
      <c r="K112" s="27" t="inlineStr">
        <is>
          <t>48x1G 90W + 4x25G + 2x10G</t>
        </is>
      </c>
      <c r="L112" s="27" t="inlineStr">
        <is>
          <t>336 Gbps</t>
        </is>
      </c>
      <c r="M112" s="27" t="inlineStr">
        <is>
          <t>데이터시트 참조</t>
        </is>
      </c>
      <c r="N112" s="27" t="inlineStr">
        <is>
          <t>1RU</t>
        </is>
      </c>
      <c r="O112" s="27" t="inlineStr">
        <is>
          <t>90W/port</t>
        </is>
      </c>
      <c r="P112" s="27" t="inlineStr">
        <is>
          <t>MACsec</t>
        </is>
      </c>
      <c r="Q112" s="27" t="inlineStr">
        <is>
          <t>현행 공식 플랫폼/데이터시트 등재</t>
        </is>
      </c>
      <c r="R112" s="30" t="inlineStr">
        <is>
          <t>https://www.arista.com/en/products/platforms</t>
        </is>
      </c>
      <c r="S112" s="30" t="inlineStr">
        <is>
          <t>https://www.arista.com/assets/data/pdf/Datasheets/CCS-720XPM-Datasheet.pdf</t>
        </is>
      </c>
      <c r="T112" s="27" t="inlineStr"/>
      <c r="U112" s="54" t="inlineStr">
        <is>
          <t>48x1G RJ45 PoE + 2x10G SFP + 4x25G SFP</t>
        </is>
      </c>
      <c r="V112" s="54" t="inlineStr">
        <is>
          <t>336 Gbps (FDX; MACsec 50G up/50G down)</t>
        </is>
      </c>
      <c r="W112" s="54" t="inlineStr">
        <is>
          <t>500 Mpps (2-way)</t>
        </is>
      </c>
      <c r="X112" s="54" t="inlineStr">
        <is>
          <t>1.2 µs</t>
        </is>
      </c>
      <c r="Y112" s="54" t="inlineStr">
        <is>
          <t>Dual-core x86</t>
        </is>
      </c>
      <c r="Z112" s="54" t="inlineStr">
        <is>
          <t>8 GB</t>
        </is>
      </c>
      <c r="AA112" s="54" t="inlineStr">
        <is>
          <t>64 GB</t>
        </is>
      </c>
      <c r="AB112" s="54" t="inlineStr">
        <is>
          <t>4 MB</t>
        </is>
      </c>
      <c r="AC112" s="54" t="inlineStr">
        <is>
          <t>Yes; maximum 2</t>
        </is>
      </c>
      <c r="AD112" s="54" t="inlineStr">
        <is>
          <t>Yes; 2 F-R or 3 R-F (N+1)</t>
        </is>
      </c>
      <c r="AE112" s="54" t="inlineStr">
        <is>
          <t>Yes — front-to-rear / rear-to-front</t>
        </is>
      </c>
    </row>
    <row r="113" ht="72" customHeight="1">
      <c r="A113" s="22" t="n">
        <v>108</v>
      </c>
      <c r="B113" s="42" t="inlineStr">
        <is>
          <t>CCS</t>
        </is>
      </c>
      <c r="C113" s="23" t="inlineStr">
        <is>
          <t>720XPM/XDM</t>
        </is>
      </c>
      <c r="D113" s="23" t="inlineStr">
        <is>
          <t>CCS-720XDM-48T-6SY</t>
        </is>
      </c>
      <c r="E113" s="23" t="inlineStr"/>
      <c r="F113" s="23" t="inlineStr">
        <is>
          <t>fixed campus access</t>
        </is>
      </c>
      <c r="G113" s="23" t="inlineStr">
        <is>
          <t>Non-PoE campus aggregation/access</t>
        </is>
      </c>
      <c r="H113" s="22" t="inlineStr">
        <is>
          <t>-</t>
        </is>
      </c>
      <c r="I113" s="22" t="inlineStr">
        <is>
          <t>-</t>
        </is>
      </c>
      <c r="J113" s="20" t="inlineStr">
        <is>
          <t>주력</t>
        </is>
      </c>
      <c r="K113" s="23" t="inlineStr">
        <is>
          <t>48x1G RJ45 + 4x25G + 2x10G</t>
        </is>
      </c>
      <c r="L113" s="23" t="inlineStr">
        <is>
          <t>336 Gbps</t>
        </is>
      </c>
      <c r="M113" s="23" t="inlineStr">
        <is>
          <t>데이터시트 참조</t>
        </is>
      </c>
      <c r="N113" s="23" t="inlineStr">
        <is>
          <t>1RU</t>
        </is>
      </c>
      <c r="O113" s="23" t="inlineStr">
        <is>
          <t>비PoE</t>
        </is>
      </c>
      <c r="P113" s="23" t="inlineStr">
        <is>
          <t>MACsec</t>
        </is>
      </c>
      <c r="Q113" s="23" t="inlineStr">
        <is>
          <t>현행 공식 플랫폼/데이터시트 등재</t>
        </is>
      </c>
      <c r="R113" s="24" t="inlineStr">
        <is>
          <t>https://www.arista.com/en/products/platforms</t>
        </is>
      </c>
      <c r="S113" s="24" t="inlineStr">
        <is>
          <t>https://www.arista.com/assets/data/pdf/Datasheets/CCS-720XPM-Datasheet.pdf</t>
        </is>
      </c>
      <c r="T113" s="23" t="inlineStr"/>
      <c r="U113" s="53" t="inlineStr">
        <is>
          <t>48x1G RJ45 non-PoE + 2x10G SFP + 4x25G SFP</t>
        </is>
      </c>
      <c r="V113" s="53" t="inlineStr">
        <is>
          <t>336 Gbps (FDX; MACsec 50G up/50G down)</t>
        </is>
      </c>
      <c r="W113" s="53" t="inlineStr">
        <is>
          <t>500 Mpps (2-way)</t>
        </is>
      </c>
      <c r="X113" s="53" t="inlineStr">
        <is>
          <t>1.2 µs</t>
        </is>
      </c>
      <c r="Y113" s="53" t="inlineStr">
        <is>
          <t>Dual-core x86</t>
        </is>
      </c>
      <c r="Z113" s="53" t="inlineStr">
        <is>
          <t>8 GB</t>
        </is>
      </c>
      <c r="AA113" s="53" t="inlineStr">
        <is>
          <t>64 GB</t>
        </is>
      </c>
      <c r="AB113" s="53" t="inlineStr">
        <is>
          <t>4 MB</t>
        </is>
      </c>
      <c r="AC113" s="53" t="inlineStr">
        <is>
          <t>Yes; maximum 2</t>
        </is>
      </c>
      <c r="AD113" s="53" t="inlineStr">
        <is>
          <t>Yes; 2 F-R or 3 R-F (N+1)</t>
        </is>
      </c>
      <c r="AE113" s="53" t="inlineStr">
        <is>
          <t>Yes — front-to-rear / rear-to-front</t>
        </is>
      </c>
    </row>
    <row r="114" ht="72" customHeight="1">
      <c r="A114" s="17" t="n">
        <v>109</v>
      </c>
      <c r="B114" s="42" t="inlineStr">
        <is>
          <t>CCS</t>
        </is>
      </c>
      <c r="C114" s="19" t="inlineStr">
        <is>
          <t>720XPM/XDM</t>
        </is>
      </c>
      <c r="D114" s="19" t="inlineStr">
        <is>
          <t>CCS-720XDM-32S-6SY</t>
        </is>
      </c>
      <c r="E114" s="19" t="inlineStr"/>
      <c r="F114" s="19" t="inlineStr">
        <is>
          <t>fixed fiber campus</t>
        </is>
      </c>
      <c r="G114" s="19" t="inlineStr">
        <is>
          <t>Fiber aggregation/access</t>
        </is>
      </c>
      <c r="H114" s="17" t="inlineStr">
        <is>
          <t>-</t>
        </is>
      </c>
      <c r="I114" s="17" t="inlineStr">
        <is>
          <t>-</t>
        </is>
      </c>
      <c r="J114" s="20" t="inlineStr">
        <is>
          <t>주력</t>
        </is>
      </c>
      <c r="K114" s="19" t="inlineStr">
        <is>
          <t>32x1G SFP + 4x25G + 2x10G</t>
        </is>
      </c>
      <c r="L114" s="19" t="inlineStr">
        <is>
          <t>304 Gbps</t>
        </is>
      </c>
      <c r="M114" s="19" t="inlineStr">
        <is>
          <t>데이터시트 참조</t>
        </is>
      </c>
      <c r="N114" s="19" t="inlineStr">
        <is>
          <t>1RU</t>
        </is>
      </c>
      <c r="O114" s="19" t="inlineStr">
        <is>
          <t>비PoE</t>
        </is>
      </c>
      <c r="P114" s="19" t="inlineStr">
        <is>
          <t>MACsec</t>
        </is>
      </c>
      <c r="Q114" s="19" t="inlineStr">
        <is>
          <t>현행 공식 플랫폼/데이터시트 등재</t>
        </is>
      </c>
      <c r="R114" s="21" t="inlineStr">
        <is>
          <t>https://www.arista.com/en/products/platforms</t>
        </is>
      </c>
      <c r="S114" s="21" t="inlineStr">
        <is>
          <t>https://www.arista.com/assets/data/pdf/Datasheets/CCS-720XPM-Datasheet.pdf</t>
        </is>
      </c>
      <c r="T114" s="19" t="inlineStr"/>
      <c r="U114" s="51" t="inlineStr">
        <is>
          <t>32x1G SFP non-PoE + 2x10G SFP + 4x25G SFP</t>
        </is>
      </c>
      <c r="V114" s="51" t="inlineStr">
        <is>
          <t>304 Gbps (FDX; MACsec 50G up/50G down)</t>
        </is>
      </c>
      <c r="W114" s="51" t="inlineStr">
        <is>
          <t>500 Mpps (2-way)</t>
        </is>
      </c>
      <c r="X114" s="51" t="inlineStr">
        <is>
          <t>1.2 µs</t>
        </is>
      </c>
      <c r="Y114" s="51" t="inlineStr">
        <is>
          <t>Dual-core x86</t>
        </is>
      </c>
      <c r="Z114" s="51" t="inlineStr">
        <is>
          <t>8 GB</t>
        </is>
      </c>
      <c r="AA114" s="51" t="inlineStr">
        <is>
          <t>64 GB</t>
        </is>
      </c>
      <c r="AB114" s="51" t="inlineStr">
        <is>
          <t>4 MB</t>
        </is>
      </c>
      <c r="AC114" s="51" t="inlineStr">
        <is>
          <t>Yes; maximum 2</t>
        </is>
      </c>
      <c r="AD114" s="51" t="inlineStr">
        <is>
          <t>Yes; 2 (N+1)</t>
        </is>
      </c>
      <c r="AE114" s="51" t="inlineStr">
        <is>
          <t>No — front-to-rear only</t>
        </is>
      </c>
    </row>
    <row r="115" ht="72" customHeight="1">
      <c r="A115" s="32" t="n">
        <v>110</v>
      </c>
      <c r="B115" s="41" t="inlineStr">
        <is>
          <t>CCS</t>
        </is>
      </c>
      <c r="C115" s="33" t="inlineStr">
        <is>
          <t>720XP</t>
        </is>
      </c>
      <c r="D115" s="33" t="inlineStr">
        <is>
          <t>CCS-720XP-96ZC2</t>
        </is>
      </c>
      <c r="E115" s="33" t="inlineStr">
        <is>
          <t>전원/airflow/메모리 변형은 데이터시트 참조</t>
        </is>
      </c>
      <c r="F115" s="33" t="inlineStr">
        <is>
          <t>fixed campus access</t>
        </is>
      </c>
      <c r="G115" s="33" t="inlineStr">
        <is>
          <t>Campus access for AP, users and IoT</t>
        </is>
      </c>
      <c r="H115" s="32" t="inlineStr">
        <is>
          <t>-</t>
        </is>
      </c>
      <c r="I115" s="32" t="inlineStr">
        <is>
          <t>-</t>
        </is>
      </c>
      <c r="J115" s="29" t="inlineStr">
        <is>
          <t>주력</t>
        </is>
      </c>
      <c r="K115" s="33" t="inlineStr">
        <is>
          <t>80x2.5G + 16x5G PoE + 4x25G + 2x100G</t>
        </is>
      </c>
      <c r="L115" s="33" t="inlineStr">
        <is>
          <t>1.16 Tbps</t>
        </is>
      </c>
      <c r="M115" s="33" t="inlineStr">
        <is>
          <t>데이터시트 참조</t>
        </is>
      </c>
      <c r="N115" s="33" t="inlineStr">
        <is>
          <t>2RU</t>
        </is>
      </c>
      <c r="O115" s="33" t="inlineStr">
        <is>
          <t>최대 60W/90W (모델별)</t>
        </is>
      </c>
      <c r="P115" s="33" t="inlineStr">
        <is>
          <t>데이터시트 참조</t>
        </is>
      </c>
      <c r="Q115" s="33" t="inlineStr">
        <is>
          <t>현행 공식 플랫폼/데이터시트 등재</t>
        </is>
      </c>
      <c r="R115" s="34" t="inlineStr">
        <is>
          <t>https://www.arista.com/en/products/platforms</t>
        </is>
      </c>
      <c r="S115" s="34" t="inlineStr">
        <is>
          <t>https://www.arista.com/assets/data/pdf/Datasheets/CCS-720XP-Datasheet.pdf</t>
        </is>
      </c>
      <c r="T115" s="33" t="inlineStr">
        <is>
          <t>96-port high-density access</t>
        </is>
      </c>
      <c r="U115" s="55" t="inlineStr">
        <is>
          <t>96xRJ45 + 4x25G SFP + 2x100G QSFP</t>
        </is>
      </c>
      <c r="V115" s="55" t="inlineStr">
        <is>
          <t>580 (1160) Gbps</t>
        </is>
      </c>
      <c r="W115" s="55" t="inlineStr">
        <is>
          <t>863 Mpps</t>
        </is>
      </c>
      <c r="X115" s="55" t="inlineStr">
        <is>
          <t>1.2 µs</t>
        </is>
      </c>
      <c r="Y115" s="55" t="inlineStr">
        <is>
          <t>Dual-core x86</t>
        </is>
      </c>
      <c r="Z115" s="55" t="inlineStr">
        <is>
          <t>4 GB; 8 GB expanded-memory variant</t>
        </is>
      </c>
      <c r="AA115" s="55" t="inlineStr">
        <is>
          <t>8 GB</t>
        </is>
      </c>
      <c r="AB115" s="55" t="inlineStr">
        <is>
          <t>16 MB</t>
        </is>
      </c>
      <c r="AC115" s="55" t="inlineStr">
        <is>
          <t>Yes; maximum 4</t>
        </is>
      </c>
      <c r="AD115" s="55" t="inlineStr">
        <is>
          <t>Yes; 3 (N+1)</t>
        </is>
      </c>
      <c r="AE115" s="55" t="inlineStr">
        <is>
          <t>No — front-to-rear only</t>
        </is>
      </c>
    </row>
    <row r="116" ht="72" customHeight="1">
      <c r="A116" s="17" t="n">
        <v>111</v>
      </c>
      <c r="B116" s="42" t="inlineStr">
        <is>
          <t>CCS</t>
        </is>
      </c>
      <c r="C116" s="19" t="inlineStr">
        <is>
          <t>720XP</t>
        </is>
      </c>
      <c r="D116" s="19" t="inlineStr">
        <is>
          <t>CCS-720XP-48ZC2</t>
        </is>
      </c>
      <c r="E116" s="19" t="inlineStr">
        <is>
          <t>전원/airflow/메모리 변형은 데이터시트 참조</t>
        </is>
      </c>
      <c r="F116" s="19" t="inlineStr">
        <is>
          <t>fixed campus access</t>
        </is>
      </c>
      <c r="G116" s="19" t="inlineStr">
        <is>
          <t>Campus access for AP, users and IoT</t>
        </is>
      </c>
      <c r="H116" s="17" t="inlineStr">
        <is>
          <t>-</t>
        </is>
      </c>
      <c r="I116" s="17" t="inlineStr">
        <is>
          <t>-</t>
        </is>
      </c>
      <c r="J116" s="20" t="inlineStr">
        <is>
          <t>주력</t>
        </is>
      </c>
      <c r="K116" s="19" t="inlineStr">
        <is>
          <t>40x2.5G + 8x5G PoE + 4x25G + 2x100G</t>
        </is>
      </c>
      <c r="L116" s="19" t="inlineStr">
        <is>
          <t>560 Gbps</t>
        </is>
      </c>
      <c r="M116" s="19" t="inlineStr">
        <is>
          <t>데이터시트 참조</t>
        </is>
      </c>
      <c r="N116" s="19" t="inlineStr">
        <is>
          <t>1RU</t>
        </is>
      </c>
      <c r="O116" s="19" t="inlineStr">
        <is>
          <t>최대 60W/90W (모델별)</t>
        </is>
      </c>
      <c r="P116" s="19" t="inlineStr">
        <is>
          <t>데이터시트 참조</t>
        </is>
      </c>
      <c r="Q116" s="19" t="inlineStr">
        <is>
          <t>현행 공식 플랫폼/데이터시트 등재</t>
        </is>
      </c>
      <c r="R116" s="21" t="inlineStr">
        <is>
          <t>https://www.arista.com/en/products/platforms</t>
        </is>
      </c>
      <c r="S116" s="21" t="inlineStr">
        <is>
          <t>https://www.arista.com/assets/data/pdf/Datasheets/CCS-720XP-Datasheet.pdf</t>
        </is>
      </c>
      <c r="T116" s="19" t="inlineStr">
        <is>
          <t>48-port high-density access</t>
        </is>
      </c>
      <c r="U116" s="51" t="inlineStr">
        <is>
          <t>48xRJ45 + 4x25G SFP + 2x100G QSFP</t>
        </is>
      </c>
      <c r="V116" s="51" t="inlineStr">
        <is>
          <t>440 (880) Gbps</t>
        </is>
      </c>
      <c r="W116" s="51" t="inlineStr">
        <is>
          <t>654 Mpps</t>
        </is>
      </c>
      <c r="X116" s="51" t="inlineStr">
        <is>
          <t>1.2 µs</t>
        </is>
      </c>
      <c r="Y116" s="51" t="inlineStr">
        <is>
          <t>Dual-core x86</t>
        </is>
      </c>
      <c r="Z116" s="51" t="inlineStr">
        <is>
          <t>4 GB</t>
        </is>
      </c>
      <c r="AA116" s="51" t="inlineStr">
        <is>
          <t>8 GB</t>
        </is>
      </c>
      <c r="AB116" s="51" t="inlineStr">
        <is>
          <t>8 MB</t>
        </is>
      </c>
      <c r="AC116" s="51" t="inlineStr">
        <is>
          <t>Yes; maximum 2</t>
        </is>
      </c>
      <c r="AD116" s="51" t="inlineStr">
        <is>
          <t>Yes; 3 (N+1)</t>
        </is>
      </c>
      <c r="AE116" s="51" t="inlineStr">
        <is>
          <t>No — front-to-rear only</t>
        </is>
      </c>
    </row>
    <row r="117" ht="72" customHeight="1">
      <c r="A117" s="22" t="n">
        <v>112</v>
      </c>
      <c r="B117" s="42" t="inlineStr">
        <is>
          <t>CCS</t>
        </is>
      </c>
      <c r="C117" s="23" t="inlineStr">
        <is>
          <t>720XP</t>
        </is>
      </c>
      <c r="D117" s="23" t="inlineStr">
        <is>
          <t>CCS-720XP-24ZY4</t>
        </is>
      </c>
      <c r="E117" s="23" t="inlineStr">
        <is>
          <t>전원/airflow/메모리 변형은 데이터시트 참조</t>
        </is>
      </c>
      <c r="F117" s="23" t="inlineStr">
        <is>
          <t>fixed campus access</t>
        </is>
      </c>
      <c r="G117" s="23" t="inlineStr">
        <is>
          <t>Campus access for AP, users and IoT</t>
        </is>
      </c>
      <c r="H117" s="22" t="inlineStr">
        <is>
          <t>-</t>
        </is>
      </c>
      <c r="I117" s="22" t="inlineStr">
        <is>
          <t>-</t>
        </is>
      </c>
      <c r="J117" s="20" t="inlineStr">
        <is>
          <t>주력</t>
        </is>
      </c>
      <c r="K117" s="23" t="inlineStr">
        <is>
          <t>16x2.5G + 8x5G PoE + 4x25G</t>
        </is>
      </c>
      <c r="L117" s="23" t="inlineStr">
        <is>
          <t>180 Gbps</t>
        </is>
      </c>
      <c r="M117" s="23" t="inlineStr">
        <is>
          <t>데이터시트 참조</t>
        </is>
      </c>
      <c r="N117" s="23" t="inlineStr">
        <is>
          <t>1RU</t>
        </is>
      </c>
      <c r="O117" s="23" t="inlineStr">
        <is>
          <t>최대 60W/90W (모델별)</t>
        </is>
      </c>
      <c r="P117" s="23" t="inlineStr">
        <is>
          <t>데이터시트 참조</t>
        </is>
      </c>
      <c r="Q117" s="23" t="inlineStr">
        <is>
          <t>현행 공식 플랫폼/데이터시트 등재</t>
        </is>
      </c>
      <c r="R117" s="24" t="inlineStr">
        <is>
          <t>https://www.arista.com/en/products/platforms</t>
        </is>
      </c>
      <c r="S117" s="24" t="inlineStr">
        <is>
          <t>https://www.arista.com/assets/data/pdf/Datasheets/CCS-720XP-Datasheet.pdf</t>
        </is>
      </c>
      <c r="T117" s="23" t="inlineStr">
        <is>
          <t>24-port multi-gig access</t>
        </is>
      </c>
      <c r="U117" s="53" t="inlineStr">
        <is>
          <t>24xRJ45 + 4x25G SFP</t>
        </is>
      </c>
      <c r="V117" s="53" t="inlineStr">
        <is>
          <t>180 (360) Gbps</t>
        </is>
      </c>
      <c r="W117" s="53" t="inlineStr">
        <is>
          <t>268 Mpps</t>
        </is>
      </c>
      <c r="X117" s="53" t="inlineStr">
        <is>
          <t>1.2 µs</t>
        </is>
      </c>
      <c r="Y117" s="53" t="inlineStr">
        <is>
          <t>Dual-core x86</t>
        </is>
      </c>
      <c r="Z117" s="53" t="inlineStr">
        <is>
          <t>4 GB</t>
        </is>
      </c>
      <c r="AA117" s="53" t="inlineStr">
        <is>
          <t>8 GB</t>
        </is>
      </c>
      <c r="AB117" s="53" t="inlineStr">
        <is>
          <t>8 MB</t>
        </is>
      </c>
      <c r="AC117" s="53" t="inlineStr">
        <is>
          <t>Yes; maximum 2</t>
        </is>
      </c>
      <c r="AD117" s="53" t="inlineStr">
        <is>
          <t>Yes; 3 (N+1)</t>
        </is>
      </c>
      <c r="AE117" s="53" t="inlineStr">
        <is>
          <t>No — front-to-rear only</t>
        </is>
      </c>
    </row>
    <row r="118" ht="72" customHeight="1">
      <c r="A118" s="17" t="n">
        <v>113</v>
      </c>
      <c r="B118" s="42" t="inlineStr">
        <is>
          <t>CCS</t>
        </is>
      </c>
      <c r="C118" s="19" t="inlineStr">
        <is>
          <t>720XP</t>
        </is>
      </c>
      <c r="D118" s="19" t="inlineStr">
        <is>
          <t>CCS-720XP-48Y6</t>
        </is>
      </c>
      <c r="E118" s="19" t="inlineStr">
        <is>
          <t>전원/airflow/메모리 변형은 데이터시트 참조</t>
        </is>
      </c>
      <c r="F118" s="19" t="inlineStr">
        <is>
          <t>fixed campus access</t>
        </is>
      </c>
      <c r="G118" s="19" t="inlineStr">
        <is>
          <t>Campus access for AP, users and IoT</t>
        </is>
      </c>
      <c r="H118" s="17" t="inlineStr">
        <is>
          <t>-</t>
        </is>
      </c>
      <c r="I118" s="17" t="inlineStr">
        <is>
          <t>-</t>
        </is>
      </c>
      <c r="J118" s="20" t="inlineStr">
        <is>
          <t>주력</t>
        </is>
      </c>
      <c r="K118" s="19" t="inlineStr">
        <is>
          <t>48x1G PoE + 6x25G</t>
        </is>
      </c>
      <c r="L118" s="19" t="inlineStr">
        <is>
          <t>198 Gbps</t>
        </is>
      </c>
      <c r="M118" s="19" t="inlineStr">
        <is>
          <t>데이터시트 참조</t>
        </is>
      </c>
      <c r="N118" s="19" t="inlineStr">
        <is>
          <t>1RU</t>
        </is>
      </c>
      <c r="O118" s="19" t="inlineStr">
        <is>
          <t>최대 60W/90W (모델별)</t>
        </is>
      </c>
      <c r="P118" s="19" t="inlineStr">
        <is>
          <t>데이터시트 참조</t>
        </is>
      </c>
      <c r="Q118" s="19" t="inlineStr">
        <is>
          <t>현행 공식 플랫폼/데이터시트 등재</t>
        </is>
      </c>
      <c r="R118" s="21" t="inlineStr">
        <is>
          <t>https://www.arista.com/en/products/platforms</t>
        </is>
      </c>
      <c r="S118" s="21" t="inlineStr">
        <is>
          <t>https://www.arista.com/assets/data/pdf/Datasheets/CCS-720XP-Datasheet.pdf</t>
        </is>
      </c>
      <c r="T118" s="19" t="inlineStr">
        <is>
          <t>48-port 1G access</t>
        </is>
      </c>
      <c r="U118" s="51" t="inlineStr">
        <is>
          <t>48x1G RJ45 + 6x25G SFP</t>
        </is>
      </c>
      <c r="V118" s="51" t="inlineStr">
        <is>
          <t>198 (396) Gbps</t>
        </is>
      </c>
      <c r="W118" s="51" t="inlineStr">
        <is>
          <t>294 Mpps</t>
        </is>
      </c>
      <c r="X118" s="51" t="inlineStr">
        <is>
          <t>1.2 µs</t>
        </is>
      </c>
      <c r="Y118" s="51" t="inlineStr">
        <is>
          <t>Dual-core x86</t>
        </is>
      </c>
      <c r="Z118" s="51" t="inlineStr">
        <is>
          <t>4 GB</t>
        </is>
      </c>
      <c r="AA118" s="51" t="inlineStr">
        <is>
          <t>8 GB</t>
        </is>
      </c>
      <c r="AB118" s="51" t="inlineStr">
        <is>
          <t>8 MB</t>
        </is>
      </c>
      <c r="AC118" s="51" t="inlineStr">
        <is>
          <t>Yes; maximum 2</t>
        </is>
      </c>
      <c r="AD118" s="51" t="inlineStr">
        <is>
          <t>Yes; 3 (N+1)</t>
        </is>
      </c>
      <c r="AE118" s="51" t="inlineStr">
        <is>
          <t>Yes — front-to-rear / rear-to-front</t>
        </is>
      </c>
    </row>
    <row r="119" ht="72" customHeight="1">
      <c r="A119" s="22" t="n">
        <v>114</v>
      </c>
      <c r="B119" s="42" t="inlineStr">
        <is>
          <t>CCS</t>
        </is>
      </c>
      <c r="C119" s="23" t="inlineStr">
        <is>
          <t>720XP</t>
        </is>
      </c>
      <c r="D119" s="23" t="inlineStr">
        <is>
          <t>CCS-720XP-24Y6</t>
        </is>
      </c>
      <c r="E119" s="23" t="inlineStr">
        <is>
          <t>전원/airflow/메모리 변형은 데이터시트 참조</t>
        </is>
      </c>
      <c r="F119" s="23" t="inlineStr">
        <is>
          <t>fixed campus access</t>
        </is>
      </c>
      <c r="G119" s="23" t="inlineStr">
        <is>
          <t>Campus access for AP, users and IoT</t>
        </is>
      </c>
      <c r="H119" s="22" t="inlineStr">
        <is>
          <t>-</t>
        </is>
      </c>
      <c r="I119" s="22" t="inlineStr">
        <is>
          <t>-</t>
        </is>
      </c>
      <c r="J119" s="20" t="inlineStr">
        <is>
          <t>주력</t>
        </is>
      </c>
      <c r="K119" s="23" t="inlineStr">
        <is>
          <t>24x1G PoE + 6x25G</t>
        </is>
      </c>
      <c r="L119" s="23" t="inlineStr">
        <is>
          <t>174 Gbps</t>
        </is>
      </c>
      <c r="M119" s="23" t="inlineStr">
        <is>
          <t>데이터시트 참조</t>
        </is>
      </c>
      <c r="N119" s="23" t="inlineStr">
        <is>
          <t>1RU</t>
        </is>
      </c>
      <c r="O119" s="23" t="inlineStr">
        <is>
          <t>최대 60W/90W (모델별)</t>
        </is>
      </c>
      <c r="P119" s="23" t="inlineStr">
        <is>
          <t>데이터시트 참조</t>
        </is>
      </c>
      <c r="Q119" s="23" t="inlineStr">
        <is>
          <t>현행 공식 플랫폼/데이터시트 등재</t>
        </is>
      </c>
      <c r="R119" s="24" t="inlineStr">
        <is>
          <t>https://www.arista.com/en/products/platforms</t>
        </is>
      </c>
      <c r="S119" s="24" t="inlineStr">
        <is>
          <t>https://www.arista.com/assets/data/pdf/Datasheets/CCS-720XP-Datasheet.pdf</t>
        </is>
      </c>
      <c r="T119" s="23" t="inlineStr">
        <is>
          <t>24-port 1G access</t>
        </is>
      </c>
      <c r="U119" s="53" t="inlineStr">
        <is>
          <t>24x1G RJ45 + 6x25G SFP</t>
        </is>
      </c>
      <c r="V119" s="53" t="inlineStr">
        <is>
          <t>174 (348) Gbps</t>
        </is>
      </c>
      <c r="W119" s="53" t="inlineStr">
        <is>
          <t>259 Mpps</t>
        </is>
      </c>
      <c r="X119" s="53" t="inlineStr">
        <is>
          <t>1.2 µs</t>
        </is>
      </c>
      <c r="Y119" s="53" t="inlineStr">
        <is>
          <t>Dual-core x86</t>
        </is>
      </c>
      <c r="Z119" s="53" t="inlineStr">
        <is>
          <t>4 GB</t>
        </is>
      </c>
      <c r="AA119" s="53" t="inlineStr">
        <is>
          <t>8 GB</t>
        </is>
      </c>
      <c r="AB119" s="53" t="inlineStr">
        <is>
          <t>8 MB</t>
        </is>
      </c>
      <c r="AC119" s="53" t="inlineStr">
        <is>
          <t>Yes; maximum 2</t>
        </is>
      </c>
      <c r="AD119" s="53" t="inlineStr">
        <is>
          <t>Yes; 3 (N+1)</t>
        </is>
      </c>
      <c r="AE119" s="53" t="inlineStr">
        <is>
          <t>Yes — front-to-rear / rear-to-front</t>
        </is>
      </c>
    </row>
    <row r="120" ht="72" customHeight="1">
      <c r="A120" s="17" t="n">
        <v>115</v>
      </c>
      <c r="B120" s="42" t="inlineStr">
        <is>
          <t>CCS</t>
        </is>
      </c>
      <c r="C120" s="19" t="inlineStr">
        <is>
          <t>720XP</t>
        </is>
      </c>
      <c r="D120" s="19" t="inlineStr">
        <is>
          <t>CCS-720XP-48TXH-2C-S</t>
        </is>
      </c>
      <c r="E120" s="19" t="inlineStr">
        <is>
          <t>전원/airflow/메모리 변형은 데이터시트 참조</t>
        </is>
      </c>
      <c r="F120" s="19" t="inlineStr">
        <is>
          <t>fixed campus access</t>
        </is>
      </c>
      <c r="G120" s="19" t="inlineStr">
        <is>
          <t>Campus access for AP, users and IoT</t>
        </is>
      </c>
      <c r="H120" s="17" t="inlineStr">
        <is>
          <t>-</t>
        </is>
      </c>
      <c r="I120" s="17" t="inlineStr">
        <is>
          <t>-</t>
        </is>
      </c>
      <c r="J120" s="20" t="inlineStr">
        <is>
          <t>주력</t>
        </is>
      </c>
      <c r="K120" s="19" t="inlineStr">
        <is>
          <t>48x10G/mGig PoE + 4x25G + 2x100G</t>
        </is>
      </c>
      <c r="L120" s="19" t="inlineStr">
        <is>
          <t>560 Gbps</t>
        </is>
      </c>
      <c r="M120" s="19" t="inlineStr">
        <is>
          <t>데이터시트 참조</t>
        </is>
      </c>
      <c r="N120" s="19" t="inlineStr">
        <is>
          <t>1RU</t>
        </is>
      </c>
      <c r="O120" s="19" t="inlineStr">
        <is>
          <t>최대 60W/90W (모델별)</t>
        </is>
      </c>
      <c r="P120" s="19" t="inlineStr">
        <is>
          <t>데이터시트 참조</t>
        </is>
      </c>
      <c r="Q120" s="19" t="inlineStr">
        <is>
          <t>현행 공식 플랫폼/데이터시트 등재</t>
        </is>
      </c>
      <c r="R120" s="21" t="inlineStr">
        <is>
          <t>https://www.arista.com/en/products/platforms</t>
        </is>
      </c>
      <c r="S120" s="21" t="inlineStr">
        <is>
          <t>https://www.arista.com/assets/data/pdf/Datasheets/CCS-720XP-Datasheet.pdf</t>
        </is>
      </c>
      <c r="T120" s="19" t="inlineStr">
        <is>
          <t>10G multi-gig high-power access</t>
        </is>
      </c>
      <c r="U120" s="51" t="inlineStr">
        <is>
          <t>48x10mG RJ45 + 4x25G SFP + 2x100G QSFP</t>
        </is>
      </c>
      <c r="V120" s="51" t="inlineStr">
        <is>
          <t>780 (1560) Gbps</t>
        </is>
      </c>
      <c r="W120" s="51" t="inlineStr">
        <is>
          <t>1,160 Mpps</t>
        </is>
      </c>
      <c r="X120" s="51" t="inlineStr">
        <is>
          <t>1.2 µs</t>
        </is>
      </c>
      <c r="Y120" s="51" t="inlineStr">
        <is>
          <t>Dual-core x86</t>
        </is>
      </c>
      <c r="Z120" s="51" t="inlineStr">
        <is>
          <t>8 GB</t>
        </is>
      </c>
      <c r="AA120" s="51" t="inlineStr">
        <is>
          <t>16 GB</t>
        </is>
      </c>
      <c r="AB120" s="51" t="inlineStr">
        <is>
          <t>16 MB</t>
        </is>
      </c>
      <c r="AC120" s="51" t="inlineStr">
        <is>
          <t>Yes; maximum 2</t>
        </is>
      </c>
      <c r="AD120" s="51" t="inlineStr">
        <is>
          <t>Yes; 3 (N+1)</t>
        </is>
      </c>
      <c r="AE120" s="51" t="inlineStr">
        <is>
          <t>No — front-to-rear only</t>
        </is>
      </c>
    </row>
    <row r="121" ht="72" customHeight="1">
      <c r="A121" s="32" t="n">
        <v>116</v>
      </c>
      <c r="B121" s="41" t="inlineStr">
        <is>
          <t>CCS</t>
        </is>
      </c>
      <c r="C121" s="33" t="inlineStr">
        <is>
          <t>722XPM</t>
        </is>
      </c>
      <c r="D121" s="33" t="inlineStr">
        <is>
          <t>CCS-722XPM-48ZY8</t>
        </is>
      </c>
      <c r="E121" s="33" t="inlineStr"/>
      <c r="F121" s="33" t="inlineStr">
        <is>
          <t>fixed campus access</t>
        </is>
      </c>
      <c r="G121" s="33" t="inlineStr">
        <is>
          <t>High-density multi-gig AP/IoT access</t>
        </is>
      </c>
      <c r="H121" s="32" t="inlineStr">
        <is>
          <t>-</t>
        </is>
      </c>
      <c r="I121" s="32" t="inlineStr">
        <is>
          <t>-</t>
        </is>
      </c>
      <c r="J121" s="29" t="inlineStr">
        <is>
          <t>주력</t>
        </is>
      </c>
      <c r="K121" s="33" t="inlineStr">
        <is>
          <t>48x2.5G 60W PoE + 8x25G</t>
        </is>
      </c>
      <c r="L121" s="33" t="inlineStr">
        <is>
          <t>640 Gbps</t>
        </is>
      </c>
      <c r="M121" s="33" t="inlineStr">
        <is>
          <t>데이터시트 참조</t>
        </is>
      </c>
      <c r="N121" s="33" t="inlineStr">
        <is>
          <t>1RU</t>
        </is>
      </c>
      <c r="O121" s="33" t="inlineStr">
        <is>
          <t>60W/port</t>
        </is>
      </c>
      <c r="P121" s="33" t="inlineStr">
        <is>
          <t>MACsec; 데이터시트 참조</t>
        </is>
      </c>
      <c r="Q121" s="33" t="inlineStr">
        <is>
          <t>현행 공식 플랫폼/데이터시트 등재</t>
        </is>
      </c>
      <c r="R121" s="34" t="inlineStr">
        <is>
          <t>https://www.arista.com/en/products/platforms</t>
        </is>
      </c>
      <c r="S121" s="34" t="inlineStr">
        <is>
          <t>https://www.arista.com/assets/data/pdf/Datasheets/CCS-722XP-Datasheet.pdf</t>
        </is>
      </c>
      <c r="T121" s="33" t="inlineStr"/>
      <c r="U121" s="55" t="inlineStr">
        <is>
          <t>48x2.5G RJ45 PoE + 8x25G SFP</t>
        </is>
      </c>
      <c r="V121" s="55" t="inlineStr">
        <is>
          <t>640 Gbps (2-way; MACsec 100G down/100G up)</t>
        </is>
      </c>
      <c r="W121" s="55" t="inlineStr">
        <is>
          <t>952 Mpps (2-way)</t>
        </is>
      </c>
      <c r="X121" s="55" t="inlineStr">
        <is>
          <t>1.2 µs</t>
        </is>
      </c>
      <c r="Y121" s="55" t="inlineStr">
        <is>
          <t>Dual-core x86</t>
        </is>
      </c>
      <c r="Z121" s="55" t="inlineStr">
        <is>
          <t>4 GB</t>
        </is>
      </c>
      <c r="AA121" s="55" t="inlineStr">
        <is>
          <t>16 GB</t>
        </is>
      </c>
      <c r="AB121" s="55" t="inlineStr">
        <is>
          <t>8 MB</t>
        </is>
      </c>
      <c r="AC121" s="55" t="inlineStr">
        <is>
          <t>Yes; maximum 2 (1+1)</t>
        </is>
      </c>
      <c r="AD121" s="55" t="inlineStr">
        <is>
          <t>Yes; 3 (N+1)</t>
        </is>
      </c>
      <c r="AE121" s="55" t="inlineStr">
        <is>
          <t>No — front-to-rear only</t>
        </is>
      </c>
    </row>
    <row r="122" ht="72" customHeight="1">
      <c r="A122" s="17" t="n">
        <v>117</v>
      </c>
      <c r="B122" s="42" t="inlineStr">
        <is>
          <t>CCS</t>
        </is>
      </c>
      <c r="C122" s="19" t="inlineStr">
        <is>
          <t>722XPM</t>
        </is>
      </c>
      <c r="D122" s="19" t="inlineStr">
        <is>
          <t>CCS-722XPM-48Y4</t>
        </is>
      </c>
      <c r="E122" s="19" t="inlineStr"/>
      <c r="F122" s="19" t="inlineStr">
        <is>
          <t>fixed campus access</t>
        </is>
      </c>
      <c r="G122" s="19" t="inlineStr">
        <is>
          <t>1G campus access with 25G uplinks</t>
        </is>
      </c>
      <c r="H122" s="17" t="inlineStr">
        <is>
          <t>-</t>
        </is>
      </c>
      <c r="I122" s="17" t="inlineStr">
        <is>
          <t>-</t>
        </is>
      </c>
      <c r="J122" s="20" t="inlineStr">
        <is>
          <t>주력</t>
        </is>
      </c>
      <c r="K122" s="19" t="inlineStr">
        <is>
          <t>48x1G 30W PoE + 4x25G + 4x10G</t>
        </is>
      </c>
      <c r="L122" s="19" t="inlineStr">
        <is>
          <t>376 Gbps</t>
        </is>
      </c>
      <c r="M122" s="19" t="inlineStr">
        <is>
          <t>데이터시트 참조</t>
        </is>
      </c>
      <c r="N122" s="19" t="inlineStr">
        <is>
          <t>1RU</t>
        </is>
      </c>
      <c r="O122" s="19" t="inlineStr">
        <is>
          <t>30W/port</t>
        </is>
      </c>
      <c r="P122" s="19" t="inlineStr">
        <is>
          <t>MACsec; 데이터시트 참조</t>
        </is>
      </c>
      <c r="Q122" s="19" t="inlineStr">
        <is>
          <t>현행 공식 플랫폼/데이터시트 등재</t>
        </is>
      </c>
      <c r="R122" s="21" t="inlineStr">
        <is>
          <t>https://www.arista.com/en/products/platforms</t>
        </is>
      </c>
      <c r="S122" s="21" t="inlineStr">
        <is>
          <t>https://www.arista.com/assets/data/pdf/Datasheets/CCS-722XP-Datasheet.pdf</t>
        </is>
      </c>
      <c r="T122" s="19" t="inlineStr"/>
      <c r="U122" s="51" t="inlineStr">
        <is>
          <t>48x1G RJ45 PoE + 4x25G SFP + 4x10G SFP</t>
        </is>
      </c>
      <c r="V122" s="51" t="inlineStr">
        <is>
          <t>376 Gbps (2-way; MACsec 50G down/50G up)</t>
        </is>
      </c>
      <c r="W122" s="51" t="inlineStr">
        <is>
          <t>559 Mpps (2-way)</t>
        </is>
      </c>
      <c r="X122" s="51" t="inlineStr">
        <is>
          <t>1.2 µs</t>
        </is>
      </c>
      <c r="Y122" s="51" t="inlineStr">
        <is>
          <t>Dual-core x86</t>
        </is>
      </c>
      <c r="Z122" s="51" t="inlineStr">
        <is>
          <t>4 GB</t>
        </is>
      </c>
      <c r="AA122" s="51" t="inlineStr">
        <is>
          <t>16 GB</t>
        </is>
      </c>
      <c r="AB122" s="51" t="inlineStr">
        <is>
          <t>4 MB</t>
        </is>
      </c>
      <c r="AC122" s="51" t="inlineStr">
        <is>
          <t>Yes; maximum 2 (1+1)</t>
        </is>
      </c>
      <c r="AD122" s="51" t="inlineStr">
        <is>
          <t>Yes; 3 (N+1)</t>
        </is>
      </c>
      <c r="AE122" s="51" t="inlineStr">
        <is>
          <t>Yes — front-to-rear / rear-to-front</t>
        </is>
      </c>
    </row>
    <row r="123" ht="72" customHeight="1">
      <c r="A123" s="32" t="n">
        <v>118</v>
      </c>
      <c r="B123" s="41" t="inlineStr">
        <is>
          <t>CCS</t>
        </is>
      </c>
      <c r="C123" s="33" t="inlineStr">
        <is>
          <t>720D</t>
        </is>
      </c>
      <c r="D123" s="33" t="inlineStr">
        <is>
          <t>CCS-720DP-24S</t>
        </is>
      </c>
      <c r="E123" s="33" t="inlineStr">
        <is>
          <t>AC/DC/HVDC 및 expanded-memory 변형은 데이터시트 참조</t>
        </is>
      </c>
      <c r="F123" s="33" t="inlineStr">
        <is>
          <t>fixed campus access/aggregation</t>
        </is>
      </c>
      <c r="G123" s="33" t="inlineStr">
        <is>
          <t>Campus access, branch, fiber aggregation</t>
        </is>
      </c>
      <c r="H123" s="32" t="inlineStr">
        <is>
          <t>-</t>
        </is>
      </c>
      <c r="I123" s="32" t="inlineStr">
        <is>
          <t>-</t>
        </is>
      </c>
      <c r="J123" s="29" t="inlineStr">
        <is>
          <t>주력</t>
        </is>
      </c>
      <c r="K123" s="33" t="inlineStr">
        <is>
          <t>24x1G + 4x10G</t>
        </is>
      </c>
      <c r="L123" s="33" t="inlineStr">
        <is>
          <t>128 Gbps</t>
        </is>
      </c>
      <c r="M123" s="33" t="inlineStr">
        <is>
          <t>데이터시트 참조</t>
        </is>
      </c>
      <c r="N123" s="33" t="inlineStr">
        <is>
          <t>1RU</t>
        </is>
      </c>
      <c r="O123" s="33" t="inlineStr">
        <is>
          <t>30W/port</t>
        </is>
      </c>
      <c r="P123" s="33" t="inlineStr">
        <is>
          <t>데이터시트 참조</t>
        </is>
      </c>
      <c r="Q123" s="33" t="inlineStr">
        <is>
          <t>현행 공식 플랫폼/데이터시트 등재</t>
        </is>
      </c>
      <c r="R123" s="34" t="inlineStr">
        <is>
          <t>https://www.arista.com/en/products/platforms</t>
        </is>
      </c>
      <c r="S123" s="34" t="inlineStr">
        <is>
          <t>https://www.arista.com/assets/data/pdf/Datasheets/CCS-720D-Datasheet.pdf</t>
        </is>
      </c>
      <c r="T123" s="33" t="inlineStr"/>
      <c r="U123" s="55" t="inlineStr">
        <is>
          <t>24x1G RJ45 PoE + 4x10G SFP+</t>
        </is>
      </c>
      <c r="V123" s="55" t="inlineStr">
        <is>
          <t>64 (128) Gbps</t>
        </is>
      </c>
      <c r="W123" s="55" t="inlineStr">
        <is>
          <t>95 Mpps</t>
        </is>
      </c>
      <c r="X123" s="55" t="inlineStr">
        <is>
          <t>1.2 µs</t>
        </is>
      </c>
      <c r="Y123" s="55" t="inlineStr">
        <is>
          <t>Dual-core x86</t>
        </is>
      </c>
      <c r="Z123" s="55" t="inlineStr">
        <is>
          <t>4 GB; 8 GB M-S variant</t>
        </is>
      </c>
      <c r="AA123" s="55" t="inlineStr">
        <is>
          <t>8 GB</t>
        </is>
      </c>
      <c r="AB123" s="55" t="inlineStr">
        <is>
          <t>2 MB</t>
        </is>
      </c>
      <c r="AC123" s="55" t="inlineStr">
        <is>
          <t>Yes; 2 (1+1)</t>
        </is>
      </c>
      <c r="AD123" s="55" t="inlineStr">
        <is>
          <t>Yes; 3</t>
        </is>
      </c>
      <c r="AE123" s="55" t="inlineStr">
        <is>
          <t>No — front-to-rear only</t>
        </is>
      </c>
    </row>
    <row r="124" ht="72" customHeight="1">
      <c r="A124" s="17" t="n">
        <v>119</v>
      </c>
      <c r="B124" s="42" t="inlineStr">
        <is>
          <t>CCS</t>
        </is>
      </c>
      <c r="C124" s="19" t="inlineStr">
        <is>
          <t>720D</t>
        </is>
      </c>
      <c r="D124" s="19" t="inlineStr">
        <is>
          <t>CCS-720DP-48S</t>
        </is>
      </c>
      <c r="E124" s="19" t="inlineStr">
        <is>
          <t>AC/DC/HVDC 및 expanded-memory 변형은 데이터시트 참조</t>
        </is>
      </c>
      <c r="F124" s="19" t="inlineStr">
        <is>
          <t>fixed campus access/aggregation</t>
        </is>
      </c>
      <c r="G124" s="19" t="inlineStr">
        <is>
          <t>Campus access, branch, fiber aggregation</t>
        </is>
      </c>
      <c r="H124" s="17" t="inlineStr">
        <is>
          <t>-</t>
        </is>
      </c>
      <c r="I124" s="17" t="inlineStr">
        <is>
          <t>-</t>
        </is>
      </c>
      <c r="J124" s="20" t="inlineStr">
        <is>
          <t>주력</t>
        </is>
      </c>
      <c r="K124" s="19" t="inlineStr">
        <is>
          <t>48x1G + 4x10G</t>
        </is>
      </c>
      <c r="L124" s="19" t="inlineStr">
        <is>
          <t>176 Gbps</t>
        </is>
      </c>
      <c r="M124" s="19" t="inlineStr">
        <is>
          <t>데이터시트 참조</t>
        </is>
      </c>
      <c r="N124" s="19" t="inlineStr">
        <is>
          <t>1RU</t>
        </is>
      </c>
      <c r="O124" s="19" t="inlineStr">
        <is>
          <t>30W/port</t>
        </is>
      </c>
      <c r="P124" s="19" t="inlineStr">
        <is>
          <t>데이터시트 참조</t>
        </is>
      </c>
      <c r="Q124" s="19" t="inlineStr">
        <is>
          <t>현행 공식 플랫폼/데이터시트 등재</t>
        </is>
      </c>
      <c r="R124" s="21" t="inlineStr">
        <is>
          <t>https://www.arista.com/en/products/platforms</t>
        </is>
      </c>
      <c r="S124" s="21" t="inlineStr">
        <is>
          <t>https://www.arista.com/assets/data/pdf/Datasheets/CCS-720D-Datasheet.pdf</t>
        </is>
      </c>
      <c r="T124" s="19" t="inlineStr"/>
      <c r="U124" s="51" t="inlineStr">
        <is>
          <t>48x1G RJ45 PoE + 4x10G SFP+</t>
        </is>
      </c>
      <c r="V124" s="51" t="inlineStr">
        <is>
          <t>88 (176) Gbps</t>
        </is>
      </c>
      <c r="W124" s="51" t="inlineStr">
        <is>
          <t>131 Mpps</t>
        </is>
      </c>
      <c r="X124" s="51" t="inlineStr">
        <is>
          <t>1.2 µs</t>
        </is>
      </c>
      <c r="Y124" s="51" t="inlineStr">
        <is>
          <t>Dual-core x86</t>
        </is>
      </c>
      <c r="Z124" s="51" t="inlineStr">
        <is>
          <t>4 GB; 8 GB M-S variant</t>
        </is>
      </c>
      <c r="AA124" s="51" t="inlineStr">
        <is>
          <t>8 GB</t>
        </is>
      </c>
      <c r="AB124" s="51" t="inlineStr">
        <is>
          <t>4 MB</t>
        </is>
      </c>
      <c r="AC124" s="51" t="inlineStr">
        <is>
          <t>Yes; 2 (1+1)</t>
        </is>
      </c>
      <c r="AD124" s="51" t="inlineStr">
        <is>
          <t>Yes; 4</t>
        </is>
      </c>
      <c r="AE124" s="51" t="inlineStr">
        <is>
          <t>No — front-to-rear only</t>
        </is>
      </c>
    </row>
    <row r="125" ht="72" customHeight="1">
      <c r="A125" s="22" t="n">
        <v>120</v>
      </c>
      <c r="B125" s="42" t="inlineStr">
        <is>
          <t>CCS</t>
        </is>
      </c>
      <c r="C125" s="23" t="inlineStr">
        <is>
          <t>720D</t>
        </is>
      </c>
      <c r="D125" s="23" t="inlineStr">
        <is>
          <t>CCS-720DT-24S</t>
        </is>
      </c>
      <c r="E125" s="23" t="inlineStr">
        <is>
          <t>AC/DC/HVDC 및 expanded-memory 변형은 데이터시트 참조</t>
        </is>
      </c>
      <c r="F125" s="23" t="inlineStr">
        <is>
          <t>fixed campus access/aggregation</t>
        </is>
      </c>
      <c r="G125" s="23" t="inlineStr">
        <is>
          <t>Campus access, branch, fiber aggregation</t>
        </is>
      </c>
      <c r="H125" s="22" t="inlineStr">
        <is>
          <t>-</t>
        </is>
      </c>
      <c r="I125" s="22" t="inlineStr">
        <is>
          <t>-</t>
        </is>
      </c>
      <c r="J125" s="20" t="inlineStr">
        <is>
          <t>주력</t>
        </is>
      </c>
      <c r="K125" s="23" t="inlineStr">
        <is>
          <t>24x1G + 4x10G</t>
        </is>
      </c>
      <c r="L125" s="23" t="inlineStr">
        <is>
          <t>128 Gbps</t>
        </is>
      </c>
      <c r="M125" s="23" t="inlineStr">
        <is>
          <t>데이터시트 참조</t>
        </is>
      </c>
      <c r="N125" s="23" t="inlineStr">
        <is>
          <t>1RU</t>
        </is>
      </c>
      <c r="O125" s="23" t="inlineStr">
        <is>
          <t>비PoE</t>
        </is>
      </c>
      <c r="P125" s="23" t="inlineStr">
        <is>
          <t>데이터시트 참조</t>
        </is>
      </c>
      <c r="Q125" s="23" t="inlineStr">
        <is>
          <t>현행 공식 플랫폼/데이터시트 등재</t>
        </is>
      </c>
      <c r="R125" s="24" t="inlineStr">
        <is>
          <t>https://www.arista.com/en/products/platforms</t>
        </is>
      </c>
      <c r="S125" s="24" t="inlineStr">
        <is>
          <t>https://www.arista.com/assets/data/pdf/Datasheets/CCS-720D-Datasheet.pdf</t>
        </is>
      </c>
      <c r="T125" s="23" t="inlineStr"/>
      <c r="U125" s="53" t="inlineStr">
        <is>
          <t>24x1G RJ45 + 4x10G SFP+</t>
        </is>
      </c>
      <c r="V125" s="53" t="inlineStr">
        <is>
          <t>64 (128) Gbps</t>
        </is>
      </c>
      <c r="W125" s="53" t="inlineStr">
        <is>
          <t>95 Mpps</t>
        </is>
      </c>
      <c r="X125" s="53" t="inlineStr">
        <is>
          <t>1.2 µs</t>
        </is>
      </c>
      <c r="Y125" s="53" t="inlineStr">
        <is>
          <t>Dual-core x86</t>
        </is>
      </c>
      <c r="Z125" s="53" t="inlineStr">
        <is>
          <t>4 GB (2F) / 8 GB (2R or M-S)</t>
        </is>
      </c>
      <c r="AA125" s="53" t="inlineStr">
        <is>
          <t>8 GB</t>
        </is>
      </c>
      <c r="AB125" s="53" t="inlineStr">
        <is>
          <t>2 MB</t>
        </is>
      </c>
      <c r="AC125" s="53" t="inlineStr">
        <is>
          <t>Yes; 2 (1+1)</t>
        </is>
      </c>
      <c r="AD125" s="53" t="inlineStr">
        <is>
          <t>Yes; 2</t>
        </is>
      </c>
      <c r="AE125" s="53" t="inlineStr">
        <is>
          <t>Yes — F/R airflow SKU options</t>
        </is>
      </c>
    </row>
    <row r="126" ht="72" customHeight="1">
      <c r="A126" s="17" t="n">
        <v>121</v>
      </c>
      <c r="B126" s="42" t="inlineStr">
        <is>
          <t>CCS</t>
        </is>
      </c>
      <c r="C126" s="19" t="inlineStr">
        <is>
          <t>720D</t>
        </is>
      </c>
      <c r="D126" s="19" t="inlineStr">
        <is>
          <t>CCS-720DT-48S</t>
        </is>
      </c>
      <c r="E126" s="19" t="inlineStr">
        <is>
          <t>AC/DC/HVDC 및 expanded-memory 변형은 데이터시트 참조</t>
        </is>
      </c>
      <c r="F126" s="19" t="inlineStr">
        <is>
          <t>fixed campus access/aggregation</t>
        </is>
      </c>
      <c r="G126" s="19" t="inlineStr">
        <is>
          <t>Campus access, branch, fiber aggregation</t>
        </is>
      </c>
      <c r="H126" s="17" t="inlineStr">
        <is>
          <t>-</t>
        </is>
      </c>
      <c r="I126" s="17" t="inlineStr">
        <is>
          <t>-</t>
        </is>
      </c>
      <c r="J126" s="20" t="inlineStr">
        <is>
          <t>주력</t>
        </is>
      </c>
      <c r="K126" s="19" t="inlineStr">
        <is>
          <t>48x1G + 4x10G</t>
        </is>
      </c>
      <c r="L126" s="19" t="inlineStr">
        <is>
          <t>176 Gbps</t>
        </is>
      </c>
      <c r="M126" s="19" t="inlineStr">
        <is>
          <t>데이터시트 참조</t>
        </is>
      </c>
      <c r="N126" s="19" t="inlineStr">
        <is>
          <t>1RU</t>
        </is>
      </c>
      <c r="O126" s="19" t="inlineStr">
        <is>
          <t>비PoE</t>
        </is>
      </c>
      <c r="P126" s="19" t="inlineStr">
        <is>
          <t>데이터시트 참조</t>
        </is>
      </c>
      <c r="Q126" s="19" t="inlineStr">
        <is>
          <t>현행 공식 플랫폼/데이터시트 등재</t>
        </is>
      </c>
      <c r="R126" s="21" t="inlineStr">
        <is>
          <t>https://www.arista.com/en/products/platforms</t>
        </is>
      </c>
      <c r="S126" s="21" t="inlineStr">
        <is>
          <t>https://www.arista.com/assets/data/pdf/Datasheets/CCS-720D-Datasheet.pdf</t>
        </is>
      </c>
      <c r="T126" s="19" t="inlineStr"/>
      <c r="U126" s="51" t="inlineStr">
        <is>
          <t>48x1G RJ45 + 4x10G SFP+</t>
        </is>
      </c>
      <c r="V126" s="51" t="inlineStr">
        <is>
          <t>88 (176) Gbps</t>
        </is>
      </c>
      <c r="W126" s="51" t="inlineStr">
        <is>
          <t>131 Mpps</t>
        </is>
      </c>
      <c r="X126" s="51" t="inlineStr">
        <is>
          <t>1.2 µs</t>
        </is>
      </c>
      <c r="Y126" s="51" t="inlineStr">
        <is>
          <t>Dual-core x86</t>
        </is>
      </c>
      <c r="Z126" s="51" t="inlineStr">
        <is>
          <t>8 GB</t>
        </is>
      </c>
      <c r="AA126" s="51" t="inlineStr">
        <is>
          <t>16 GB</t>
        </is>
      </c>
      <c r="AB126" s="51" t="inlineStr">
        <is>
          <t>4 MB</t>
        </is>
      </c>
      <c r="AC126" s="51" t="inlineStr">
        <is>
          <t>Yes; 2 (1+1)</t>
        </is>
      </c>
      <c r="AD126" s="51" t="inlineStr">
        <is>
          <t>Yes; 2</t>
        </is>
      </c>
      <c r="AE126" s="51" t="inlineStr">
        <is>
          <t>Yes — front-to-rear / rear-to-front</t>
        </is>
      </c>
    </row>
    <row r="127" ht="72" customHeight="1">
      <c r="A127" s="22" t="n">
        <v>122</v>
      </c>
      <c r="B127" s="42" t="inlineStr">
        <is>
          <t>CCS</t>
        </is>
      </c>
      <c r="C127" s="23" t="inlineStr">
        <is>
          <t>720D</t>
        </is>
      </c>
      <c r="D127" s="23" t="inlineStr">
        <is>
          <t>CCS-720DP-24ZS</t>
        </is>
      </c>
      <c r="E127" s="23" t="inlineStr">
        <is>
          <t>AC/DC/HVDC 및 expanded-memory 변형은 데이터시트 참조</t>
        </is>
      </c>
      <c r="F127" s="23" t="inlineStr">
        <is>
          <t>fixed campus access/aggregation</t>
        </is>
      </c>
      <c r="G127" s="23" t="inlineStr">
        <is>
          <t>Campus access, branch, fiber aggregation</t>
        </is>
      </c>
      <c r="H127" s="22" t="inlineStr">
        <is>
          <t>-</t>
        </is>
      </c>
      <c r="I127" s="22" t="inlineStr">
        <is>
          <t>-</t>
        </is>
      </c>
      <c r="J127" s="20" t="inlineStr">
        <is>
          <t>주력</t>
        </is>
      </c>
      <c r="K127" s="23" t="inlineStr">
        <is>
          <t>24x2.5G + 4x10G</t>
        </is>
      </c>
      <c r="L127" s="23" t="inlineStr">
        <is>
          <t>200 Gbps</t>
        </is>
      </c>
      <c r="M127" s="23" t="inlineStr">
        <is>
          <t>데이터시트 참조</t>
        </is>
      </c>
      <c r="N127" s="23" t="inlineStr">
        <is>
          <t>1RU</t>
        </is>
      </c>
      <c r="O127" s="23" t="inlineStr">
        <is>
          <t>60W/port</t>
        </is>
      </c>
      <c r="P127" s="23" t="inlineStr">
        <is>
          <t>데이터시트 참조</t>
        </is>
      </c>
      <c r="Q127" s="23" t="inlineStr">
        <is>
          <t>현행 공식 플랫폼/데이터시트 등재</t>
        </is>
      </c>
      <c r="R127" s="24" t="inlineStr">
        <is>
          <t>https://www.arista.com/en/products/platforms</t>
        </is>
      </c>
      <c r="S127" s="24" t="inlineStr">
        <is>
          <t>https://www.arista.com/assets/data/pdf/Datasheets/CCS-720D-Datasheet.pdf</t>
        </is>
      </c>
      <c r="T127" s="23" t="inlineStr"/>
      <c r="U127" s="53" t="inlineStr">
        <is>
          <t>24x2.5G RJ45 PoE + 4x10G SFP+</t>
        </is>
      </c>
      <c r="V127" s="53" t="inlineStr">
        <is>
          <t>100 (200) Gbps</t>
        </is>
      </c>
      <c r="W127" s="53" t="inlineStr">
        <is>
          <t>149 Mpps</t>
        </is>
      </c>
      <c r="X127" s="53" t="inlineStr">
        <is>
          <t>1.2 µs</t>
        </is>
      </c>
      <c r="Y127" s="53" t="inlineStr">
        <is>
          <t>Dual-core x86</t>
        </is>
      </c>
      <c r="Z127" s="53" t="inlineStr">
        <is>
          <t>8 GB</t>
        </is>
      </c>
      <c r="AA127" s="53" t="inlineStr">
        <is>
          <t>8 GB</t>
        </is>
      </c>
      <c r="AB127" s="53" t="inlineStr">
        <is>
          <t>8 MB</t>
        </is>
      </c>
      <c r="AC127" s="53" t="inlineStr">
        <is>
          <t>Yes; 2 (1+1)</t>
        </is>
      </c>
      <c r="AD127" s="53" t="inlineStr">
        <is>
          <t>Yes; 4</t>
        </is>
      </c>
      <c r="AE127" s="53" t="inlineStr">
        <is>
          <t>No — front-to-rear only</t>
        </is>
      </c>
    </row>
    <row r="128" ht="72" customHeight="1">
      <c r="A128" s="17" t="n">
        <v>123</v>
      </c>
      <c r="B128" s="42" t="inlineStr">
        <is>
          <t>CCS</t>
        </is>
      </c>
      <c r="C128" s="19" t="inlineStr">
        <is>
          <t>720D</t>
        </is>
      </c>
      <c r="D128" s="19" t="inlineStr">
        <is>
          <t>CCS-720DP-48ZS</t>
        </is>
      </c>
      <c r="E128" s="19" t="inlineStr">
        <is>
          <t>AC/DC/HVDC 및 expanded-memory 변형은 데이터시트 참조</t>
        </is>
      </c>
      <c r="F128" s="19" t="inlineStr">
        <is>
          <t>fixed campus access/aggregation</t>
        </is>
      </c>
      <c r="G128" s="19" t="inlineStr">
        <is>
          <t>Campus access, branch, fiber aggregation</t>
        </is>
      </c>
      <c r="H128" s="17" t="inlineStr">
        <is>
          <t>-</t>
        </is>
      </c>
      <c r="I128" s="17" t="inlineStr">
        <is>
          <t>-</t>
        </is>
      </c>
      <c r="J128" s="20" t="inlineStr">
        <is>
          <t>주력</t>
        </is>
      </c>
      <c r="K128" s="19" t="inlineStr">
        <is>
          <t>48x2.5G + 4x10G</t>
        </is>
      </c>
      <c r="L128" s="19" t="inlineStr">
        <is>
          <t>320 Gbps</t>
        </is>
      </c>
      <c r="M128" s="19" t="inlineStr">
        <is>
          <t>데이터시트 참조</t>
        </is>
      </c>
      <c r="N128" s="19" t="inlineStr">
        <is>
          <t>1RU</t>
        </is>
      </c>
      <c r="O128" s="19" t="inlineStr">
        <is>
          <t>60W/port</t>
        </is>
      </c>
      <c r="P128" s="19" t="inlineStr">
        <is>
          <t>데이터시트 참조</t>
        </is>
      </c>
      <c r="Q128" s="19" t="inlineStr">
        <is>
          <t>현행 공식 플랫폼/데이터시트 등재</t>
        </is>
      </c>
      <c r="R128" s="21" t="inlineStr">
        <is>
          <t>https://www.arista.com/en/products/platforms</t>
        </is>
      </c>
      <c r="S128" s="21" t="inlineStr">
        <is>
          <t>https://www.arista.com/assets/data/pdf/Datasheets/CCS-720D-Datasheet.pdf</t>
        </is>
      </c>
      <c r="T128" s="19" t="inlineStr"/>
      <c r="U128" s="51" t="inlineStr">
        <is>
          <t>48x2.5G RJ45 PoE + 4x10G SFP+</t>
        </is>
      </c>
      <c r="V128" s="51" t="inlineStr">
        <is>
          <t>160 (320) Gbps</t>
        </is>
      </c>
      <c r="W128" s="51" t="inlineStr">
        <is>
          <t>238 Mpps</t>
        </is>
      </c>
      <c r="X128" s="51" t="inlineStr">
        <is>
          <t>1.2 µs</t>
        </is>
      </c>
      <c r="Y128" s="51" t="inlineStr">
        <is>
          <t>Dual-core x86</t>
        </is>
      </c>
      <c r="Z128" s="51" t="inlineStr">
        <is>
          <t>8 GB</t>
        </is>
      </c>
      <c r="AA128" s="51" t="inlineStr">
        <is>
          <t>8 GB</t>
        </is>
      </c>
      <c r="AB128" s="51" t="inlineStr">
        <is>
          <t>8 MB</t>
        </is>
      </c>
      <c r="AC128" s="51" t="inlineStr">
        <is>
          <t>Yes; 2 (1+1)</t>
        </is>
      </c>
      <c r="AD128" s="51" t="inlineStr">
        <is>
          <t>Yes; 4</t>
        </is>
      </c>
      <c r="AE128" s="51" t="inlineStr">
        <is>
          <t>No — front-to-rear only</t>
        </is>
      </c>
    </row>
    <row r="129" ht="72" customHeight="1">
      <c r="A129" s="22" t="n">
        <v>124</v>
      </c>
      <c r="B129" s="42" t="inlineStr">
        <is>
          <t>CCS</t>
        </is>
      </c>
      <c r="C129" s="23" t="inlineStr">
        <is>
          <t>720D</t>
        </is>
      </c>
      <c r="D129" s="23" t="inlineStr">
        <is>
          <t>CCS-720DF-48Y</t>
        </is>
      </c>
      <c r="E129" s="23" t="inlineStr">
        <is>
          <t>AC/DC/HVDC 및 expanded-memory 변형은 데이터시트 참조</t>
        </is>
      </c>
      <c r="F129" s="23" t="inlineStr">
        <is>
          <t>fixed campus access/aggregation</t>
        </is>
      </c>
      <c r="G129" s="23" t="inlineStr">
        <is>
          <t>Campus access, branch, fiber aggregation</t>
        </is>
      </c>
      <c r="H129" s="22" t="inlineStr">
        <is>
          <t>-</t>
        </is>
      </c>
      <c r="I129" s="22" t="inlineStr">
        <is>
          <t>-</t>
        </is>
      </c>
      <c r="J129" s="20" t="inlineStr">
        <is>
          <t>주력</t>
        </is>
      </c>
      <c r="K129" s="23" t="inlineStr">
        <is>
          <t>48x1G SFP + 4x25G</t>
        </is>
      </c>
      <c r="L129" s="23" t="inlineStr">
        <is>
          <t>296 Gbps</t>
        </is>
      </c>
      <c r="M129" s="23" t="inlineStr">
        <is>
          <t>데이터시트 참조</t>
        </is>
      </c>
      <c r="N129" s="23" t="inlineStr">
        <is>
          <t>1RU</t>
        </is>
      </c>
      <c r="O129" s="23" t="inlineStr">
        <is>
          <t>비PoE</t>
        </is>
      </c>
      <c r="P129" s="23" t="inlineStr">
        <is>
          <t>데이터시트 참조</t>
        </is>
      </c>
      <c r="Q129" s="40" t="inlineStr">
        <is>
          <t>공식 데이터시트 EoS 주의</t>
        </is>
      </c>
      <c r="R129" s="24" t="inlineStr">
        <is>
          <t>https://www.arista.com/en/products/platforms</t>
        </is>
      </c>
      <c r="S129" s="24" t="inlineStr">
        <is>
          <t>https://www.arista.com/assets/data/pdf/Datasheets/CCS-720D-Datasheet.pdf</t>
        </is>
      </c>
      <c r="T129" s="23" t="inlineStr">
        <is>
          <t>데이터시트의 End-of-Sales 주석 및 지역별 판매 상태 확인 필요</t>
        </is>
      </c>
      <c r="U129" s="53" t="inlineStr">
        <is>
          <t>48x1G SFP + 4x25G SFP28</t>
        </is>
      </c>
      <c r="V129" s="53" t="inlineStr">
        <is>
          <t>148 (296) Gbps</t>
        </is>
      </c>
      <c r="W129" s="53" t="inlineStr">
        <is>
          <t>220 Mpps</t>
        </is>
      </c>
      <c r="X129" s="53" t="inlineStr">
        <is>
          <t>1.2 µs</t>
        </is>
      </c>
      <c r="Y129" s="53" t="inlineStr">
        <is>
          <t>Dual-core x86</t>
        </is>
      </c>
      <c r="Z129" s="53" t="inlineStr">
        <is>
          <t>4 / 8 GB (variant)</t>
        </is>
      </c>
      <c r="AA129" s="53" t="inlineStr">
        <is>
          <t>8 / 20 GB (variant)</t>
        </is>
      </c>
      <c r="AB129" s="53" t="inlineStr">
        <is>
          <t>8 MB</t>
        </is>
      </c>
      <c r="AC129" s="53" t="inlineStr">
        <is>
          <t>Yes; 2 (1+1)</t>
        </is>
      </c>
      <c r="AD129" s="53" t="inlineStr">
        <is>
          <t>Yes; 3</t>
        </is>
      </c>
      <c r="AE129" s="53" t="inlineStr">
        <is>
          <t>No — front-to-rear only</t>
        </is>
      </c>
    </row>
    <row r="130" ht="72" customHeight="1">
      <c r="A130" s="25" t="n">
        <v>125</v>
      </c>
      <c r="B130" s="41" t="inlineStr">
        <is>
          <t>CCS</t>
        </is>
      </c>
      <c r="C130" s="27" t="inlineStr">
        <is>
          <t>710P</t>
        </is>
      </c>
      <c r="D130" s="27" t="inlineStr">
        <is>
          <t>CCS-710P-12</t>
        </is>
      </c>
      <c r="E130" s="27" t="inlineStr"/>
      <c r="F130" s="27" t="inlineStr">
        <is>
          <t>compact PoE switch</t>
        </is>
      </c>
      <c r="G130" s="27" t="inlineStr">
        <is>
          <t>Small branch, hospitality, IoT access</t>
        </is>
      </c>
      <c r="H130" s="25" t="inlineStr">
        <is>
          <t>-</t>
        </is>
      </c>
      <c r="I130" s="25" t="inlineStr">
        <is>
          <t>-</t>
        </is>
      </c>
      <c r="J130" s="29" t="inlineStr">
        <is>
          <t>주력</t>
        </is>
      </c>
      <c r="K130" s="27" t="inlineStr">
        <is>
          <t>12x1G PoE + 2x10G SFP+</t>
        </is>
      </c>
      <c r="L130" s="27" t="inlineStr">
        <is>
          <t>64 Gbps</t>
        </is>
      </c>
      <c r="M130" s="27" t="inlineStr">
        <is>
          <t>데이터시트 참조</t>
        </is>
      </c>
      <c r="N130" s="27" t="inlineStr">
        <is>
          <t>compact</t>
        </is>
      </c>
      <c r="O130" s="27" t="inlineStr">
        <is>
          <t>PoE</t>
        </is>
      </c>
      <c r="P130" s="27" t="inlineStr">
        <is>
          <t>데이터시트 참조</t>
        </is>
      </c>
      <c r="Q130" s="27" t="inlineStr">
        <is>
          <t>현행 공식 플랫폼/데이터시트 등재</t>
        </is>
      </c>
      <c r="R130" s="30" t="inlineStr">
        <is>
          <t>https://www.arista.com/en/products/platforms</t>
        </is>
      </c>
      <c r="S130" s="30" t="inlineStr">
        <is>
          <t>https://www.arista.com/assets/data/pdf/Datasheets/CCS-710P-Datasheet.pdf</t>
        </is>
      </c>
      <c r="T130" s="27" t="inlineStr"/>
      <c r="U130" s="54" t="inlineStr">
        <is>
          <t>12x1G RJ45 + 2x10G SFP+</t>
        </is>
      </c>
      <c r="V130" s="54" t="inlineStr">
        <is>
          <t>64 Gbps (FDX)</t>
        </is>
      </c>
      <c r="W130" s="54" t="inlineStr">
        <is>
          <t>95 Mpps</t>
        </is>
      </c>
      <c r="X130" s="54" t="inlineStr">
        <is>
          <t>1.2 µs</t>
        </is>
      </c>
      <c r="Y130" s="54" t="inlineStr">
        <is>
          <t>Dual-core x86</t>
        </is>
      </c>
      <c r="Z130" s="54" t="inlineStr">
        <is>
          <t>4 GB</t>
        </is>
      </c>
      <c r="AA130" s="54" t="inlineStr">
        <is>
          <t>8 GB</t>
        </is>
      </c>
      <c r="AB130" s="54" t="inlineStr">
        <is>
          <t>2 MB</t>
        </is>
      </c>
      <c r="AC130" s="54" t="inlineStr">
        <is>
          <t>No; 150W/280W external PSU</t>
        </is>
      </c>
      <c r="AD130" s="56" t="inlineStr">
        <is>
          <t>미기재(사양표에 팬 항목 없음)</t>
        </is>
      </c>
      <c r="AE130" s="56" t="inlineStr">
        <is>
          <t>N/A / not stated for compact external-PSU design</t>
        </is>
      </c>
    </row>
    <row r="131" ht="72" customHeight="1">
      <c r="A131" s="22" t="n">
        <v>126</v>
      </c>
      <c r="B131" s="42" t="inlineStr">
        <is>
          <t>CCS</t>
        </is>
      </c>
      <c r="C131" s="23" t="inlineStr">
        <is>
          <t>710P</t>
        </is>
      </c>
      <c r="D131" s="23" t="inlineStr">
        <is>
          <t>CCS-710P-16P</t>
        </is>
      </c>
      <c r="E131" s="23" t="inlineStr"/>
      <c r="F131" s="23" t="inlineStr">
        <is>
          <t>compact PoE switch</t>
        </is>
      </c>
      <c r="G131" s="23" t="inlineStr">
        <is>
          <t>Small branch, room/desk edge, IoT access</t>
        </is>
      </c>
      <c r="H131" s="22" t="inlineStr">
        <is>
          <t>-</t>
        </is>
      </c>
      <c r="I131" s="22" t="inlineStr">
        <is>
          <t>-</t>
        </is>
      </c>
      <c r="J131" s="20" t="inlineStr">
        <is>
          <t>주력</t>
        </is>
      </c>
      <c r="K131" s="23" t="inlineStr">
        <is>
          <t>12x1G + 4x5G mixed PD/PSE + 2x10G SFP+</t>
        </is>
      </c>
      <c r="L131" s="23" t="inlineStr">
        <is>
          <t>104 Gbps</t>
        </is>
      </c>
      <c r="M131" s="23" t="inlineStr">
        <is>
          <t>데이터시트 참조</t>
        </is>
      </c>
      <c r="N131" s="23" t="inlineStr">
        <is>
          <t>compact</t>
        </is>
      </c>
      <c r="O131" s="23" t="inlineStr">
        <is>
          <t>PoE/PD-PSE</t>
        </is>
      </c>
      <c r="P131" s="23" t="inlineStr">
        <is>
          <t>데이터시트 참조</t>
        </is>
      </c>
      <c r="Q131" s="23" t="inlineStr">
        <is>
          <t>현행 공식 플랫폼/데이터시트 등재</t>
        </is>
      </c>
      <c r="R131" s="24" t="inlineStr">
        <is>
          <t>https://www.arista.com/en/products/platforms</t>
        </is>
      </c>
      <c r="S131" s="24" t="inlineStr">
        <is>
          <t>https://www.arista.com/assets/data/pdf/Datasheets/CCS-710P-Datasheet.pdf</t>
        </is>
      </c>
      <c r="T131" s="23" t="inlineStr"/>
      <c r="U131" s="53" t="inlineStr">
        <is>
          <t>16xRJ45 + 2x10G SFP+ (12x1G + 4x5G mixed PD/PSE)</t>
        </is>
      </c>
      <c r="V131" s="53" t="inlineStr">
        <is>
          <t>104 Gbps (FDX)</t>
        </is>
      </c>
      <c r="W131" s="53" t="inlineStr">
        <is>
          <t>155 Mpps</t>
        </is>
      </c>
      <c r="X131" s="53" t="inlineStr">
        <is>
          <t>1.2 µs</t>
        </is>
      </c>
      <c r="Y131" s="53" t="inlineStr">
        <is>
          <t>Dual-core x86</t>
        </is>
      </c>
      <c r="Z131" s="53" t="inlineStr">
        <is>
          <t>4 GB</t>
        </is>
      </c>
      <c r="AA131" s="53" t="inlineStr">
        <is>
          <t>8 GB</t>
        </is>
      </c>
      <c r="AB131" s="53" t="inlineStr">
        <is>
          <t>2 MB</t>
        </is>
      </c>
      <c r="AC131" s="53" t="inlineStr">
        <is>
          <t>No; PoE input or 150W/280W external PSU</t>
        </is>
      </c>
      <c r="AD131" s="52" t="inlineStr">
        <is>
          <t>미기재(사양표에 팬 항목 없음)</t>
        </is>
      </c>
      <c r="AE131" s="52" t="inlineStr">
        <is>
          <t>N/A / not stated for compact external-PSU design</t>
        </is>
      </c>
    </row>
  </sheetData>
  <autoFilter ref="A5:AE131"/>
  <mergeCells count="5">
    <mergeCell ref="U4:AE4"/>
    <mergeCell ref="A2:AE2"/>
    <mergeCell ref="A4:T4"/>
    <mergeCell ref="A1:AE1"/>
    <mergeCell ref="A3:AE3"/>
  </mergeCells>
  <hyperlinks>
    <hyperlink xmlns:r="http://schemas.openxmlformats.org/officeDocument/2006/relationships" ref="R6" r:id="rId1"/>
    <hyperlink xmlns:r="http://schemas.openxmlformats.org/officeDocument/2006/relationships" ref="S6" r:id="rId2"/>
    <hyperlink xmlns:r="http://schemas.openxmlformats.org/officeDocument/2006/relationships" ref="R7" r:id="rId3"/>
    <hyperlink xmlns:r="http://schemas.openxmlformats.org/officeDocument/2006/relationships" ref="S7" r:id="rId4"/>
    <hyperlink xmlns:r="http://schemas.openxmlformats.org/officeDocument/2006/relationships" ref="R8" r:id="rId5"/>
    <hyperlink xmlns:r="http://schemas.openxmlformats.org/officeDocument/2006/relationships" ref="S8" r:id="rId6"/>
    <hyperlink xmlns:r="http://schemas.openxmlformats.org/officeDocument/2006/relationships" ref="R9" r:id="rId7"/>
    <hyperlink xmlns:r="http://schemas.openxmlformats.org/officeDocument/2006/relationships" ref="S9" r:id="rId8"/>
    <hyperlink xmlns:r="http://schemas.openxmlformats.org/officeDocument/2006/relationships" ref="R10" r:id="rId9"/>
    <hyperlink xmlns:r="http://schemas.openxmlformats.org/officeDocument/2006/relationships" ref="S10" r:id="rId10"/>
    <hyperlink xmlns:r="http://schemas.openxmlformats.org/officeDocument/2006/relationships" ref="R11" r:id="rId11"/>
    <hyperlink xmlns:r="http://schemas.openxmlformats.org/officeDocument/2006/relationships" ref="S11" r:id="rId12"/>
    <hyperlink xmlns:r="http://schemas.openxmlformats.org/officeDocument/2006/relationships" ref="R12" r:id="rId13"/>
    <hyperlink xmlns:r="http://schemas.openxmlformats.org/officeDocument/2006/relationships" ref="S12" r:id="rId14"/>
    <hyperlink xmlns:r="http://schemas.openxmlformats.org/officeDocument/2006/relationships" ref="R13" r:id="rId15"/>
    <hyperlink xmlns:r="http://schemas.openxmlformats.org/officeDocument/2006/relationships" ref="S13" r:id="rId16"/>
    <hyperlink xmlns:r="http://schemas.openxmlformats.org/officeDocument/2006/relationships" ref="R14" r:id="rId17"/>
    <hyperlink xmlns:r="http://schemas.openxmlformats.org/officeDocument/2006/relationships" ref="S14" r:id="rId18"/>
    <hyperlink xmlns:r="http://schemas.openxmlformats.org/officeDocument/2006/relationships" ref="R15" r:id="rId19"/>
    <hyperlink xmlns:r="http://schemas.openxmlformats.org/officeDocument/2006/relationships" ref="S15" r:id="rId20"/>
    <hyperlink xmlns:r="http://schemas.openxmlformats.org/officeDocument/2006/relationships" ref="R16" r:id="rId21"/>
    <hyperlink xmlns:r="http://schemas.openxmlformats.org/officeDocument/2006/relationships" ref="S16" r:id="rId22"/>
    <hyperlink xmlns:r="http://schemas.openxmlformats.org/officeDocument/2006/relationships" ref="R17" r:id="rId23"/>
    <hyperlink xmlns:r="http://schemas.openxmlformats.org/officeDocument/2006/relationships" ref="S17" r:id="rId24"/>
    <hyperlink xmlns:r="http://schemas.openxmlformats.org/officeDocument/2006/relationships" ref="R18" r:id="rId25"/>
    <hyperlink xmlns:r="http://schemas.openxmlformats.org/officeDocument/2006/relationships" ref="S18" r:id="rId26"/>
    <hyperlink xmlns:r="http://schemas.openxmlformats.org/officeDocument/2006/relationships" ref="R19" r:id="rId27"/>
    <hyperlink xmlns:r="http://schemas.openxmlformats.org/officeDocument/2006/relationships" ref="S19" r:id="rId28"/>
    <hyperlink xmlns:r="http://schemas.openxmlformats.org/officeDocument/2006/relationships" ref="R20" r:id="rId29"/>
    <hyperlink xmlns:r="http://schemas.openxmlformats.org/officeDocument/2006/relationships" ref="S20" r:id="rId30"/>
    <hyperlink xmlns:r="http://schemas.openxmlformats.org/officeDocument/2006/relationships" ref="R21" r:id="rId31"/>
    <hyperlink xmlns:r="http://schemas.openxmlformats.org/officeDocument/2006/relationships" ref="S21" r:id="rId32"/>
    <hyperlink xmlns:r="http://schemas.openxmlformats.org/officeDocument/2006/relationships" ref="R22" r:id="rId33"/>
    <hyperlink xmlns:r="http://schemas.openxmlformats.org/officeDocument/2006/relationships" ref="S22" r:id="rId34"/>
    <hyperlink xmlns:r="http://schemas.openxmlformats.org/officeDocument/2006/relationships" ref="R23" r:id="rId35"/>
    <hyperlink xmlns:r="http://schemas.openxmlformats.org/officeDocument/2006/relationships" ref="S23" r:id="rId36"/>
    <hyperlink xmlns:r="http://schemas.openxmlformats.org/officeDocument/2006/relationships" ref="R24" r:id="rId37"/>
    <hyperlink xmlns:r="http://schemas.openxmlformats.org/officeDocument/2006/relationships" ref="S24" r:id="rId38"/>
    <hyperlink xmlns:r="http://schemas.openxmlformats.org/officeDocument/2006/relationships" ref="R25" r:id="rId39"/>
    <hyperlink xmlns:r="http://schemas.openxmlformats.org/officeDocument/2006/relationships" ref="S25" r:id="rId40"/>
    <hyperlink xmlns:r="http://schemas.openxmlformats.org/officeDocument/2006/relationships" ref="R26" r:id="rId41"/>
    <hyperlink xmlns:r="http://schemas.openxmlformats.org/officeDocument/2006/relationships" ref="S26" r:id="rId42"/>
    <hyperlink xmlns:r="http://schemas.openxmlformats.org/officeDocument/2006/relationships" ref="R27" r:id="rId43"/>
    <hyperlink xmlns:r="http://schemas.openxmlformats.org/officeDocument/2006/relationships" ref="S27" r:id="rId44"/>
    <hyperlink xmlns:r="http://schemas.openxmlformats.org/officeDocument/2006/relationships" ref="R28" r:id="rId45"/>
    <hyperlink xmlns:r="http://schemas.openxmlformats.org/officeDocument/2006/relationships" ref="S28" r:id="rId46"/>
    <hyperlink xmlns:r="http://schemas.openxmlformats.org/officeDocument/2006/relationships" ref="R29" r:id="rId47"/>
    <hyperlink xmlns:r="http://schemas.openxmlformats.org/officeDocument/2006/relationships" ref="S29" r:id="rId48"/>
    <hyperlink xmlns:r="http://schemas.openxmlformats.org/officeDocument/2006/relationships" ref="R30" r:id="rId49"/>
    <hyperlink xmlns:r="http://schemas.openxmlformats.org/officeDocument/2006/relationships" ref="S30" r:id="rId50"/>
    <hyperlink xmlns:r="http://schemas.openxmlformats.org/officeDocument/2006/relationships" ref="R31" r:id="rId51"/>
    <hyperlink xmlns:r="http://schemas.openxmlformats.org/officeDocument/2006/relationships" ref="S31" r:id="rId52"/>
    <hyperlink xmlns:r="http://schemas.openxmlformats.org/officeDocument/2006/relationships" ref="R32" r:id="rId53"/>
    <hyperlink xmlns:r="http://schemas.openxmlformats.org/officeDocument/2006/relationships" ref="S32" r:id="rId54"/>
    <hyperlink xmlns:r="http://schemas.openxmlformats.org/officeDocument/2006/relationships" ref="R33" r:id="rId55"/>
    <hyperlink xmlns:r="http://schemas.openxmlformats.org/officeDocument/2006/relationships" ref="S33" r:id="rId56"/>
    <hyperlink xmlns:r="http://schemas.openxmlformats.org/officeDocument/2006/relationships" ref="R34" r:id="rId57"/>
    <hyperlink xmlns:r="http://schemas.openxmlformats.org/officeDocument/2006/relationships" ref="S34" r:id="rId58"/>
    <hyperlink xmlns:r="http://schemas.openxmlformats.org/officeDocument/2006/relationships" ref="R35" r:id="rId59"/>
    <hyperlink xmlns:r="http://schemas.openxmlformats.org/officeDocument/2006/relationships" ref="S35" r:id="rId60"/>
    <hyperlink xmlns:r="http://schemas.openxmlformats.org/officeDocument/2006/relationships" ref="R36" r:id="rId61"/>
    <hyperlink xmlns:r="http://schemas.openxmlformats.org/officeDocument/2006/relationships" ref="S36" r:id="rId62"/>
    <hyperlink xmlns:r="http://schemas.openxmlformats.org/officeDocument/2006/relationships" ref="R37" r:id="rId63"/>
    <hyperlink xmlns:r="http://schemas.openxmlformats.org/officeDocument/2006/relationships" ref="S37" r:id="rId64"/>
    <hyperlink xmlns:r="http://schemas.openxmlformats.org/officeDocument/2006/relationships" ref="R38" r:id="rId65"/>
    <hyperlink xmlns:r="http://schemas.openxmlformats.org/officeDocument/2006/relationships" ref="S38" r:id="rId66"/>
    <hyperlink xmlns:r="http://schemas.openxmlformats.org/officeDocument/2006/relationships" ref="R39" r:id="rId67"/>
    <hyperlink xmlns:r="http://schemas.openxmlformats.org/officeDocument/2006/relationships" ref="S39" r:id="rId68"/>
    <hyperlink xmlns:r="http://schemas.openxmlformats.org/officeDocument/2006/relationships" ref="R40" r:id="rId69"/>
    <hyperlink xmlns:r="http://schemas.openxmlformats.org/officeDocument/2006/relationships" ref="S40" r:id="rId70"/>
    <hyperlink xmlns:r="http://schemas.openxmlformats.org/officeDocument/2006/relationships" ref="R41" r:id="rId71"/>
    <hyperlink xmlns:r="http://schemas.openxmlformats.org/officeDocument/2006/relationships" ref="S41" r:id="rId72"/>
    <hyperlink xmlns:r="http://schemas.openxmlformats.org/officeDocument/2006/relationships" ref="R42" r:id="rId73"/>
    <hyperlink xmlns:r="http://schemas.openxmlformats.org/officeDocument/2006/relationships" ref="S42" r:id="rId74"/>
    <hyperlink xmlns:r="http://schemas.openxmlformats.org/officeDocument/2006/relationships" ref="R43" r:id="rId75"/>
    <hyperlink xmlns:r="http://schemas.openxmlformats.org/officeDocument/2006/relationships" ref="S43" r:id="rId76"/>
    <hyperlink xmlns:r="http://schemas.openxmlformats.org/officeDocument/2006/relationships" ref="R44" r:id="rId77"/>
    <hyperlink xmlns:r="http://schemas.openxmlformats.org/officeDocument/2006/relationships" ref="S44" r:id="rId78"/>
    <hyperlink xmlns:r="http://schemas.openxmlformats.org/officeDocument/2006/relationships" ref="R45" r:id="rId79"/>
    <hyperlink xmlns:r="http://schemas.openxmlformats.org/officeDocument/2006/relationships" ref="S45" r:id="rId80"/>
    <hyperlink xmlns:r="http://schemas.openxmlformats.org/officeDocument/2006/relationships" ref="R46" r:id="rId81"/>
    <hyperlink xmlns:r="http://schemas.openxmlformats.org/officeDocument/2006/relationships" ref="S46" r:id="rId82"/>
    <hyperlink xmlns:r="http://schemas.openxmlformats.org/officeDocument/2006/relationships" ref="R47" r:id="rId83"/>
    <hyperlink xmlns:r="http://schemas.openxmlformats.org/officeDocument/2006/relationships" ref="S47" r:id="rId84"/>
    <hyperlink xmlns:r="http://schemas.openxmlformats.org/officeDocument/2006/relationships" ref="R48" r:id="rId85"/>
    <hyperlink xmlns:r="http://schemas.openxmlformats.org/officeDocument/2006/relationships" ref="S48" r:id="rId86"/>
    <hyperlink xmlns:r="http://schemas.openxmlformats.org/officeDocument/2006/relationships" ref="R49" r:id="rId87"/>
    <hyperlink xmlns:r="http://schemas.openxmlformats.org/officeDocument/2006/relationships" ref="S49" r:id="rId88"/>
    <hyperlink xmlns:r="http://schemas.openxmlformats.org/officeDocument/2006/relationships" ref="R50" r:id="rId89"/>
    <hyperlink xmlns:r="http://schemas.openxmlformats.org/officeDocument/2006/relationships" ref="S50" r:id="rId90"/>
    <hyperlink xmlns:r="http://schemas.openxmlformats.org/officeDocument/2006/relationships" ref="R51" r:id="rId91"/>
    <hyperlink xmlns:r="http://schemas.openxmlformats.org/officeDocument/2006/relationships" ref="S51" r:id="rId92"/>
    <hyperlink xmlns:r="http://schemas.openxmlformats.org/officeDocument/2006/relationships" ref="R52" r:id="rId93"/>
    <hyperlink xmlns:r="http://schemas.openxmlformats.org/officeDocument/2006/relationships" ref="S52" r:id="rId94"/>
    <hyperlink xmlns:r="http://schemas.openxmlformats.org/officeDocument/2006/relationships" ref="R53" r:id="rId95"/>
    <hyperlink xmlns:r="http://schemas.openxmlformats.org/officeDocument/2006/relationships" ref="S53" r:id="rId96"/>
    <hyperlink xmlns:r="http://schemas.openxmlformats.org/officeDocument/2006/relationships" ref="R54" r:id="rId97"/>
    <hyperlink xmlns:r="http://schemas.openxmlformats.org/officeDocument/2006/relationships" ref="S54" r:id="rId98"/>
    <hyperlink xmlns:r="http://schemas.openxmlformats.org/officeDocument/2006/relationships" ref="R55" r:id="rId99"/>
    <hyperlink xmlns:r="http://schemas.openxmlformats.org/officeDocument/2006/relationships" ref="S55" r:id="rId100"/>
    <hyperlink xmlns:r="http://schemas.openxmlformats.org/officeDocument/2006/relationships" ref="R56" r:id="rId101"/>
    <hyperlink xmlns:r="http://schemas.openxmlformats.org/officeDocument/2006/relationships" ref="S56" r:id="rId102"/>
    <hyperlink xmlns:r="http://schemas.openxmlformats.org/officeDocument/2006/relationships" ref="R57" r:id="rId103"/>
    <hyperlink xmlns:r="http://schemas.openxmlformats.org/officeDocument/2006/relationships" ref="S57" r:id="rId104"/>
    <hyperlink xmlns:r="http://schemas.openxmlformats.org/officeDocument/2006/relationships" ref="R58" r:id="rId105"/>
    <hyperlink xmlns:r="http://schemas.openxmlformats.org/officeDocument/2006/relationships" ref="S58" r:id="rId106"/>
    <hyperlink xmlns:r="http://schemas.openxmlformats.org/officeDocument/2006/relationships" ref="R59" r:id="rId107"/>
    <hyperlink xmlns:r="http://schemas.openxmlformats.org/officeDocument/2006/relationships" ref="S59" r:id="rId108"/>
    <hyperlink xmlns:r="http://schemas.openxmlformats.org/officeDocument/2006/relationships" ref="R60" r:id="rId109"/>
    <hyperlink xmlns:r="http://schemas.openxmlformats.org/officeDocument/2006/relationships" ref="S60" r:id="rId110"/>
    <hyperlink xmlns:r="http://schemas.openxmlformats.org/officeDocument/2006/relationships" ref="R61" r:id="rId111"/>
    <hyperlink xmlns:r="http://schemas.openxmlformats.org/officeDocument/2006/relationships" ref="S61" r:id="rId112"/>
    <hyperlink xmlns:r="http://schemas.openxmlformats.org/officeDocument/2006/relationships" ref="R62" r:id="rId113"/>
    <hyperlink xmlns:r="http://schemas.openxmlformats.org/officeDocument/2006/relationships" ref="S62" r:id="rId114"/>
    <hyperlink xmlns:r="http://schemas.openxmlformats.org/officeDocument/2006/relationships" ref="R63" r:id="rId115"/>
    <hyperlink xmlns:r="http://schemas.openxmlformats.org/officeDocument/2006/relationships" ref="S63" r:id="rId116"/>
    <hyperlink xmlns:r="http://schemas.openxmlformats.org/officeDocument/2006/relationships" ref="R64" r:id="rId117"/>
    <hyperlink xmlns:r="http://schemas.openxmlformats.org/officeDocument/2006/relationships" ref="S64" r:id="rId118"/>
    <hyperlink xmlns:r="http://schemas.openxmlformats.org/officeDocument/2006/relationships" ref="R65" r:id="rId119"/>
    <hyperlink xmlns:r="http://schemas.openxmlformats.org/officeDocument/2006/relationships" ref="S65" r:id="rId120"/>
    <hyperlink xmlns:r="http://schemas.openxmlformats.org/officeDocument/2006/relationships" ref="R66" r:id="rId121"/>
    <hyperlink xmlns:r="http://schemas.openxmlformats.org/officeDocument/2006/relationships" ref="S66" r:id="rId122"/>
    <hyperlink xmlns:r="http://schemas.openxmlformats.org/officeDocument/2006/relationships" ref="R67" r:id="rId123"/>
    <hyperlink xmlns:r="http://schemas.openxmlformats.org/officeDocument/2006/relationships" ref="S67" r:id="rId124"/>
    <hyperlink xmlns:r="http://schemas.openxmlformats.org/officeDocument/2006/relationships" ref="R68" r:id="rId125"/>
    <hyperlink xmlns:r="http://schemas.openxmlformats.org/officeDocument/2006/relationships" ref="S68" r:id="rId126"/>
    <hyperlink xmlns:r="http://schemas.openxmlformats.org/officeDocument/2006/relationships" ref="R69" r:id="rId127"/>
    <hyperlink xmlns:r="http://schemas.openxmlformats.org/officeDocument/2006/relationships" ref="S69" r:id="rId128"/>
    <hyperlink xmlns:r="http://schemas.openxmlformats.org/officeDocument/2006/relationships" ref="R70" r:id="rId129"/>
    <hyperlink xmlns:r="http://schemas.openxmlformats.org/officeDocument/2006/relationships" ref="S70" r:id="rId130"/>
    <hyperlink xmlns:r="http://schemas.openxmlformats.org/officeDocument/2006/relationships" ref="R71" r:id="rId131"/>
    <hyperlink xmlns:r="http://schemas.openxmlformats.org/officeDocument/2006/relationships" ref="S71" r:id="rId132"/>
    <hyperlink xmlns:r="http://schemas.openxmlformats.org/officeDocument/2006/relationships" ref="R72" r:id="rId133"/>
    <hyperlink xmlns:r="http://schemas.openxmlformats.org/officeDocument/2006/relationships" ref="S72" r:id="rId134"/>
    <hyperlink xmlns:r="http://schemas.openxmlformats.org/officeDocument/2006/relationships" ref="R73" r:id="rId135"/>
    <hyperlink xmlns:r="http://schemas.openxmlformats.org/officeDocument/2006/relationships" ref="S73" r:id="rId136"/>
    <hyperlink xmlns:r="http://schemas.openxmlformats.org/officeDocument/2006/relationships" ref="R74" r:id="rId137"/>
    <hyperlink xmlns:r="http://schemas.openxmlformats.org/officeDocument/2006/relationships" ref="S74" r:id="rId138"/>
    <hyperlink xmlns:r="http://schemas.openxmlformats.org/officeDocument/2006/relationships" ref="R75" r:id="rId139"/>
    <hyperlink xmlns:r="http://schemas.openxmlformats.org/officeDocument/2006/relationships" ref="S75" r:id="rId140"/>
    <hyperlink xmlns:r="http://schemas.openxmlformats.org/officeDocument/2006/relationships" ref="R76" r:id="rId141"/>
    <hyperlink xmlns:r="http://schemas.openxmlformats.org/officeDocument/2006/relationships" ref="S76" r:id="rId142"/>
    <hyperlink xmlns:r="http://schemas.openxmlformats.org/officeDocument/2006/relationships" ref="R77" r:id="rId143"/>
    <hyperlink xmlns:r="http://schemas.openxmlformats.org/officeDocument/2006/relationships" ref="S77" r:id="rId144"/>
    <hyperlink xmlns:r="http://schemas.openxmlformats.org/officeDocument/2006/relationships" ref="R78" r:id="rId145"/>
    <hyperlink xmlns:r="http://schemas.openxmlformats.org/officeDocument/2006/relationships" ref="S78" r:id="rId146"/>
    <hyperlink xmlns:r="http://schemas.openxmlformats.org/officeDocument/2006/relationships" ref="R79" r:id="rId147"/>
    <hyperlink xmlns:r="http://schemas.openxmlformats.org/officeDocument/2006/relationships" ref="S79" r:id="rId148"/>
    <hyperlink xmlns:r="http://schemas.openxmlformats.org/officeDocument/2006/relationships" ref="R80" r:id="rId149"/>
    <hyperlink xmlns:r="http://schemas.openxmlformats.org/officeDocument/2006/relationships" ref="S80" r:id="rId150"/>
    <hyperlink xmlns:r="http://schemas.openxmlformats.org/officeDocument/2006/relationships" ref="R81" r:id="rId151"/>
    <hyperlink xmlns:r="http://schemas.openxmlformats.org/officeDocument/2006/relationships" ref="S81" r:id="rId152"/>
    <hyperlink xmlns:r="http://schemas.openxmlformats.org/officeDocument/2006/relationships" ref="R82" r:id="rId153"/>
    <hyperlink xmlns:r="http://schemas.openxmlformats.org/officeDocument/2006/relationships" ref="S82" r:id="rId154"/>
    <hyperlink xmlns:r="http://schemas.openxmlformats.org/officeDocument/2006/relationships" ref="R83" r:id="rId155"/>
    <hyperlink xmlns:r="http://schemas.openxmlformats.org/officeDocument/2006/relationships" ref="S83" r:id="rId156"/>
    <hyperlink xmlns:r="http://schemas.openxmlformats.org/officeDocument/2006/relationships" ref="R84" r:id="rId157"/>
    <hyperlink xmlns:r="http://schemas.openxmlformats.org/officeDocument/2006/relationships" ref="S84" r:id="rId158"/>
    <hyperlink xmlns:r="http://schemas.openxmlformats.org/officeDocument/2006/relationships" ref="R85" r:id="rId159"/>
    <hyperlink xmlns:r="http://schemas.openxmlformats.org/officeDocument/2006/relationships" ref="S85" r:id="rId160"/>
    <hyperlink xmlns:r="http://schemas.openxmlformats.org/officeDocument/2006/relationships" ref="R86" r:id="rId161"/>
    <hyperlink xmlns:r="http://schemas.openxmlformats.org/officeDocument/2006/relationships" ref="S86" r:id="rId162"/>
    <hyperlink xmlns:r="http://schemas.openxmlformats.org/officeDocument/2006/relationships" ref="R87" r:id="rId163"/>
    <hyperlink xmlns:r="http://schemas.openxmlformats.org/officeDocument/2006/relationships" ref="S87" r:id="rId164"/>
    <hyperlink xmlns:r="http://schemas.openxmlformats.org/officeDocument/2006/relationships" ref="R88" r:id="rId165"/>
    <hyperlink xmlns:r="http://schemas.openxmlformats.org/officeDocument/2006/relationships" ref="S88" r:id="rId166"/>
    <hyperlink xmlns:r="http://schemas.openxmlformats.org/officeDocument/2006/relationships" ref="R89" r:id="rId167"/>
    <hyperlink xmlns:r="http://schemas.openxmlformats.org/officeDocument/2006/relationships" ref="S89" r:id="rId168"/>
    <hyperlink xmlns:r="http://schemas.openxmlformats.org/officeDocument/2006/relationships" ref="R90" r:id="rId169"/>
    <hyperlink xmlns:r="http://schemas.openxmlformats.org/officeDocument/2006/relationships" ref="S90" r:id="rId170"/>
    <hyperlink xmlns:r="http://schemas.openxmlformats.org/officeDocument/2006/relationships" ref="R91" r:id="rId171"/>
    <hyperlink xmlns:r="http://schemas.openxmlformats.org/officeDocument/2006/relationships" ref="S91" r:id="rId172"/>
    <hyperlink xmlns:r="http://schemas.openxmlformats.org/officeDocument/2006/relationships" ref="R92" r:id="rId173"/>
    <hyperlink xmlns:r="http://schemas.openxmlformats.org/officeDocument/2006/relationships" ref="S92" r:id="rId174"/>
    <hyperlink xmlns:r="http://schemas.openxmlformats.org/officeDocument/2006/relationships" ref="R93" r:id="rId175"/>
    <hyperlink xmlns:r="http://schemas.openxmlformats.org/officeDocument/2006/relationships" ref="S93" r:id="rId176"/>
    <hyperlink xmlns:r="http://schemas.openxmlformats.org/officeDocument/2006/relationships" ref="R94" r:id="rId177"/>
    <hyperlink xmlns:r="http://schemas.openxmlformats.org/officeDocument/2006/relationships" ref="S94" r:id="rId178"/>
    <hyperlink xmlns:r="http://schemas.openxmlformats.org/officeDocument/2006/relationships" ref="R95" r:id="rId179"/>
    <hyperlink xmlns:r="http://schemas.openxmlformats.org/officeDocument/2006/relationships" ref="S95" r:id="rId180"/>
    <hyperlink xmlns:r="http://schemas.openxmlformats.org/officeDocument/2006/relationships" ref="R96" r:id="rId181"/>
    <hyperlink xmlns:r="http://schemas.openxmlformats.org/officeDocument/2006/relationships" ref="S96" r:id="rId182"/>
    <hyperlink xmlns:r="http://schemas.openxmlformats.org/officeDocument/2006/relationships" ref="R97" r:id="rId183"/>
    <hyperlink xmlns:r="http://schemas.openxmlformats.org/officeDocument/2006/relationships" ref="S97" r:id="rId184"/>
    <hyperlink xmlns:r="http://schemas.openxmlformats.org/officeDocument/2006/relationships" ref="R98" r:id="rId185"/>
    <hyperlink xmlns:r="http://schemas.openxmlformats.org/officeDocument/2006/relationships" ref="S98" r:id="rId186"/>
    <hyperlink xmlns:r="http://schemas.openxmlformats.org/officeDocument/2006/relationships" ref="R99" r:id="rId187"/>
    <hyperlink xmlns:r="http://schemas.openxmlformats.org/officeDocument/2006/relationships" ref="S99" r:id="rId188"/>
    <hyperlink xmlns:r="http://schemas.openxmlformats.org/officeDocument/2006/relationships" ref="R100" r:id="rId189"/>
    <hyperlink xmlns:r="http://schemas.openxmlformats.org/officeDocument/2006/relationships" ref="S100" r:id="rId190"/>
    <hyperlink xmlns:r="http://schemas.openxmlformats.org/officeDocument/2006/relationships" ref="R101" r:id="rId191"/>
    <hyperlink xmlns:r="http://schemas.openxmlformats.org/officeDocument/2006/relationships" ref="S101" r:id="rId192"/>
    <hyperlink xmlns:r="http://schemas.openxmlformats.org/officeDocument/2006/relationships" ref="R102" r:id="rId193"/>
    <hyperlink xmlns:r="http://schemas.openxmlformats.org/officeDocument/2006/relationships" ref="S102" r:id="rId194"/>
    <hyperlink xmlns:r="http://schemas.openxmlformats.org/officeDocument/2006/relationships" ref="R103" r:id="rId195"/>
    <hyperlink xmlns:r="http://schemas.openxmlformats.org/officeDocument/2006/relationships" ref="S103" r:id="rId196"/>
    <hyperlink xmlns:r="http://schemas.openxmlformats.org/officeDocument/2006/relationships" ref="R104" r:id="rId197"/>
    <hyperlink xmlns:r="http://schemas.openxmlformats.org/officeDocument/2006/relationships" ref="S104" r:id="rId198"/>
    <hyperlink xmlns:r="http://schemas.openxmlformats.org/officeDocument/2006/relationships" ref="R105" r:id="rId199"/>
    <hyperlink xmlns:r="http://schemas.openxmlformats.org/officeDocument/2006/relationships" ref="S105" r:id="rId200"/>
    <hyperlink xmlns:r="http://schemas.openxmlformats.org/officeDocument/2006/relationships" ref="R106" r:id="rId201"/>
    <hyperlink xmlns:r="http://schemas.openxmlformats.org/officeDocument/2006/relationships" ref="S106" r:id="rId202"/>
    <hyperlink xmlns:r="http://schemas.openxmlformats.org/officeDocument/2006/relationships" ref="R107" r:id="rId203"/>
    <hyperlink xmlns:r="http://schemas.openxmlformats.org/officeDocument/2006/relationships" ref="S107" r:id="rId204"/>
    <hyperlink xmlns:r="http://schemas.openxmlformats.org/officeDocument/2006/relationships" ref="R108" r:id="rId205"/>
    <hyperlink xmlns:r="http://schemas.openxmlformats.org/officeDocument/2006/relationships" ref="S108" r:id="rId206"/>
    <hyperlink xmlns:r="http://schemas.openxmlformats.org/officeDocument/2006/relationships" ref="R109" r:id="rId207"/>
    <hyperlink xmlns:r="http://schemas.openxmlformats.org/officeDocument/2006/relationships" ref="S109" r:id="rId208"/>
    <hyperlink xmlns:r="http://schemas.openxmlformats.org/officeDocument/2006/relationships" ref="R110" r:id="rId209"/>
    <hyperlink xmlns:r="http://schemas.openxmlformats.org/officeDocument/2006/relationships" ref="S110" r:id="rId210"/>
    <hyperlink xmlns:r="http://schemas.openxmlformats.org/officeDocument/2006/relationships" ref="R111" r:id="rId211"/>
    <hyperlink xmlns:r="http://schemas.openxmlformats.org/officeDocument/2006/relationships" ref="S111" r:id="rId212"/>
    <hyperlink xmlns:r="http://schemas.openxmlformats.org/officeDocument/2006/relationships" ref="R112" r:id="rId213"/>
    <hyperlink xmlns:r="http://schemas.openxmlformats.org/officeDocument/2006/relationships" ref="S112" r:id="rId214"/>
    <hyperlink xmlns:r="http://schemas.openxmlformats.org/officeDocument/2006/relationships" ref="R113" r:id="rId215"/>
    <hyperlink xmlns:r="http://schemas.openxmlformats.org/officeDocument/2006/relationships" ref="S113" r:id="rId216"/>
    <hyperlink xmlns:r="http://schemas.openxmlformats.org/officeDocument/2006/relationships" ref="R114" r:id="rId217"/>
    <hyperlink xmlns:r="http://schemas.openxmlformats.org/officeDocument/2006/relationships" ref="S114" r:id="rId218"/>
    <hyperlink xmlns:r="http://schemas.openxmlformats.org/officeDocument/2006/relationships" ref="R115" r:id="rId219"/>
    <hyperlink xmlns:r="http://schemas.openxmlformats.org/officeDocument/2006/relationships" ref="S115" r:id="rId220"/>
    <hyperlink xmlns:r="http://schemas.openxmlformats.org/officeDocument/2006/relationships" ref="R116" r:id="rId221"/>
    <hyperlink xmlns:r="http://schemas.openxmlformats.org/officeDocument/2006/relationships" ref="S116" r:id="rId222"/>
    <hyperlink xmlns:r="http://schemas.openxmlformats.org/officeDocument/2006/relationships" ref="R117" r:id="rId223"/>
    <hyperlink xmlns:r="http://schemas.openxmlformats.org/officeDocument/2006/relationships" ref="S117" r:id="rId224"/>
    <hyperlink xmlns:r="http://schemas.openxmlformats.org/officeDocument/2006/relationships" ref="R118" r:id="rId225"/>
    <hyperlink xmlns:r="http://schemas.openxmlformats.org/officeDocument/2006/relationships" ref="S118" r:id="rId226"/>
    <hyperlink xmlns:r="http://schemas.openxmlformats.org/officeDocument/2006/relationships" ref="R119" r:id="rId227"/>
    <hyperlink xmlns:r="http://schemas.openxmlformats.org/officeDocument/2006/relationships" ref="S119" r:id="rId228"/>
    <hyperlink xmlns:r="http://schemas.openxmlformats.org/officeDocument/2006/relationships" ref="R120" r:id="rId229"/>
    <hyperlink xmlns:r="http://schemas.openxmlformats.org/officeDocument/2006/relationships" ref="S120" r:id="rId230"/>
    <hyperlink xmlns:r="http://schemas.openxmlformats.org/officeDocument/2006/relationships" ref="R121" r:id="rId231"/>
    <hyperlink xmlns:r="http://schemas.openxmlformats.org/officeDocument/2006/relationships" ref="S121" r:id="rId232"/>
    <hyperlink xmlns:r="http://schemas.openxmlformats.org/officeDocument/2006/relationships" ref="R122" r:id="rId233"/>
    <hyperlink xmlns:r="http://schemas.openxmlformats.org/officeDocument/2006/relationships" ref="S122" r:id="rId234"/>
    <hyperlink xmlns:r="http://schemas.openxmlformats.org/officeDocument/2006/relationships" ref="R123" r:id="rId235"/>
    <hyperlink xmlns:r="http://schemas.openxmlformats.org/officeDocument/2006/relationships" ref="S123" r:id="rId236"/>
    <hyperlink xmlns:r="http://schemas.openxmlformats.org/officeDocument/2006/relationships" ref="R124" r:id="rId237"/>
    <hyperlink xmlns:r="http://schemas.openxmlformats.org/officeDocument/2006/relationships" ref="S124" r:id="rId238"/>
    <hyperlink xmlns:r="http://schemas.openxmlformats.org/officeDocument/2006/relationships" ref="R125" r:id="rId239"/>
    <hyperlink xmlns:r="http://schemas.openxmlformats.org/officeDocument/2006/relationships" ref="S125" r:id="rId240"/>
    <hyperlink xmlns:r="http://schemas.openxmlformats.org/officeDocument/2006/relationships" ref="R126" r:id="rId241"/>
    <hyperlink xmlns:r="http://schemas.openxmlformats.org/officeDocument/2006/relationships" ref="S126" r:id="rId242"/>
    <hyperlink xmlns:r="http://schemas.openxmlformats.org/officeDocument/2006/relationships" ref="R127" r:id="rId243"/>
    <hyperlink xmlns:r="http://schemas.openxmlformats.org/officeDocument/2006/relationships" ref="S127" r:id="rId244"/>
    <hyperlink xmlns:r="http://schemas.openxmlformats.org/officeDocument/2006/relationships" ref="R128" r:id="rId245"/>
    <hyperlink xmlns:r="http://schemas.openxmlformats.org/officeDocument/2006/relationships" ref="S128" r:id="rId246"/>
    <hyperlink xmlns:r="http://schemas.openxmlformats.org/officeDocument/2006/relationships" ref="R129" r:id="rId247"/>
    <hyperlink xmlns:r="http://schemas.openxmlformats.org/officeDocument/2006/relationships" ref="S129" r:id="rId248"/>
    <hyperlink xmlns:r="http://schemas.openxmlformats.org/officeDocument/2006/relationships" ref="R130" r:id="rId249"/>
    <hyperlink xmlns:r="http://schemas.openxmlformats.org/officeDocument/2006/relationships" ref="S130" r:id="rId250"/>
    <hyperlink xmlns:r="http://schemas.openxmlformats.org/officeDocument/2006/relationships" ref="R131" r:id="rId251"/>
    <hyperlink xmlns:r="http://schemas.openxmlformats.org/officeDocument/2006/relationships" ref="S131" r:id="rId252"/>
  </hyperlinks>
  <pageMargins left="0.25" right="0.25" top="0.5" bottom="0.5" header="0.5" footer="0.5"/>
  <pageSetup orientation="landscape"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0F6B78"/>
    <outlinePr summaryBelow="1" summaryRight="1"/>
    <pageSetUpPr fitToPage="1"/>
  </sheetPr>
  <dimension ref="A1:AT24"/>
  <sheetViews>
    <sheetView showGridLines="0" zoomScale="8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0" customWidth="1" min="3" max="3"/>
    <col width="12" customWidth="1" min="4" max="4"/>
    <col width="15" customWidth="1" min="5" max="5"/>
    <col width="20" customWidth="1" min="6" max="6"/>
    <col width="24" customWidth="1" min="7" max="7"/>
    <col width="25" customWidth="1" min="8" max="8"/>
    <col width="30" customWidth="1" min="9" max="9"/>
    <col width="26" customWidth="1" min="10" max="10"/>
    <col width="32" customWidth="1" min="11" max="11"/>
    <col width="25" customWidth="1" min="12" max="12"/>
    <col width="23" customWidth="1" min="13" max="13"/>
    <col width="18" customWidth="1" min="14" max="14"/>
    <col width="36" customWidth="1" min="15" max="15"/>
    <col width="72" customWidth="1" min="16" max="16"/>
    <col width="42" customWidth="1" min="17" max="17"/>
    <col width="34" customWidth="1" min="18" max="18"/>
    <col width="48" customWidth="1" min="19" max="19"/>
    <col width="55" customWidth="1" min="20" max="20"/>
    <col width="44" customWidth="1" min="21" max="21"/>
    <col width="20" customWidth="1" min="22" max="22"/>
    <col width="18" customWidth="1" min="23" max="23"/>
    <col width="42" customWidth="1" min="24" max="24"/>
    <col width="20" customWidth="1" min="25" max="25"/>
    <col width="30" customWidth="1" min="26" max="26"/>
    <col width="30" customWidth="1" min="27" max="27"/>
    <col width="34" customWidth="1" min="28" max="28"/>
    <col width="30" customWidth="1" min="29" max="29"/>
    <col width="32" customWidth="1" min="30" max="30"/>
    <col width="36" customWidth="1" min="31" max="31"/>
    <col width="34" customWidth="1" min="32" max="32"/>
    <col width="42" customWidth="1" min="33" max="33"/>
    <col width="22" customWidth="1" min="34" max="34"/>
    <col width="42" customWidth="1" min="35" max="35"/>
    <col width="18" customWidth="1" min="36" max="36"/>
    <col width="26" customWidth="1" min="37" max="37"/>
    <col width="30" customWidth="1" min="38" max="38"/>
    <col width="18" customWidth="1" min="39" max="39"/>
    <col width="22" customWidth="1" min="40" max="40"/>
    <col width="22" customWidth="1" min="41" max="41"/>
    <col width="22" customWidth="1" min="42" max="42"/>
    <col width="32" customWidth="1" min="43" max="43"/>
    <col width="30" customWidth="1" min="44" max="44"/>
    <col width="44" customWidth="1" min="45" max="45"/>
    <col width="24" customWidth="1" min="46" max="46"/>
  </cols>
  <sheetData>
    <row r="1" ht="30" customHeight="1">
      <c r="A1" s="1" t="inlineStr">
        <is>
          <t>Arista 무선 AP 전체 제품군</t>
        </is>
      </c>
    </row>
    <row r="2" ht="22" customHeight="1">
      <c r="A2" s="14" t="inlineStr">
        <is>
          <t>Wi-Fi 7 / 6E / 6 | Indoor / Outdoor | 내장·외장 안테나 | 기준일 2026-09-08</t>
        </is>
      </c>
    </row>
    <row r="3" ht="42" customHeight="1">
      <c r="A3" s="15" t="inlineStr">
        <is>
          <t>공식 AP Comparison Matrix와 개별 데이터시트를 대조했습니다. 우측 Key Specifications는 RF, 전원, 시스템, 물리·환경, 보안·IoT로 분류했습니다. 녹색=전사값, 주황=미기재/상충·규제 주의.</t>
        </is>
      </c>
    </row>
    <row r="4" ht="24" customHeight="1">
      <c r="A4" s="49" t="inlineStr">
        <is>
          <t>제품·설치·안테나·출처</t>
        </is>
      </c>
      <c r="V4" s="50" t="inlineStr">
        <is>
          <t>RF / Radio / Capacity</t>
        </is>
      </c>
      <c r="AF4" s="57" t="inlineStr">
        <is>
          <t>Interfaces / Power</t>
        </is>
      </c>
      <c r="AI4" s="58" t="inlineStr">
        <is>
          <t>System / Storage</t>
        </is>
      </c>
      <c r="AL4" s="59" t="inlineStr">
        <is>
          <t>Physical / Environmental</t>
        </is>
      </c>
      <c r="AR4" s="60" t="inlineStr">
        <is>
          <t>Security / IoT / Rating</t>
        </is>
      </c>
    </row>
    <row r="5" ht="42" customHeight="1">
      <c r="A5" s="16" t="inlineStr">
        <is>
          <t>No</t>
        </is>
      </c>
      <c r="B5" s="16" t="inlineStr">
        <is>
          <t>세대</t>
        </is>
      </c>
      <c r="C5" s="16" t="inlineStr">
        <is>
          <t>환경</t>
        </is>
      </c>
      <c r="D5" s="16" t="inlineStr">
        <is>
          <t>모델</t>
        </is>
      </c>
      <c r="E5" s="16" t="inlineStr">
        <is>
          <t>주문 SKU</t>
        </is>
      </c>
      <c r="F5" s="16" t="inlineStr">
        <is>
          <t>안테나 형태</t>
        </is>
      </c>
      <c r="G5" s="16" t="inlineStr">
        <is>
          <t>외장 커넥터</t>
        </is>
      </c>
      <c r="H5" s="16" t="inlineStr">
        <is>
          <t>공간 스트림</t>
        </is>
      </c>
      <c r="I5" s="16" t="inlineStr">
        <is>
          <t>최대 PHY 속도</t>
        </is>
      </c>
      <c r="J5" s="16" t="inlineStr">
        <is>
          <t>액세스 라디오</t>
        </is>
      </c>
      <c r="K5" s="16" t="inlineStr">
        <is>
          <t>멀티펑션/WIPS 라디오</t>
        </is>
      </c>
      <c r="L5" s="16" t="inlineStr">
        <is>
          <t>Ethernet</t>
        </is>
      </c>
      <c r="M5" s="16" t="inlineStr">
        <is>
          <t>PoE/전원</t>
        </is>
      </c>
      <c r="N5" s="16" t="inlineStr">
        <is>
          <t>설치 방식</t>
        </is>
      </c>
      <c r="O5" s="16" t="inlineStr">
        <is>
          <t>권장 밀도/용도</t>
        </is>
      </c>
      <c r="P5" s="16" t="inlineStr">
        <is>
          <t>외장 안테나 호환 모델</t>
        </is>
      </c>
      <c r="Q5" s="16" t="inlineStr">
        <is>
          <t>기본 마운트/가이드</t>
        </is>
      </c>
      <c r="R5" s="16" t="inlineStr">
        <is>
          <t>상태</t>
        </is>
      </c>
      <c r="S5" s="16" t="inlineStr">
        <is>
          <t>공식 제품 페이지</t>
        </is>
      </c>
      <c r="T5" s="16" t="inlineStr">
        <is>
          <t>공식 데이터시트</t>
        </is>
      </c>
      <c r="U5" s="16" t="inlineStr">
        <is>
          <t>비고</t>
        </is>
      </c>
      <c r="V5" s="16" t="inlineStr">
        <is>
          <t>Wi-Fi Standard</t>
        </is>
      </c>
      <c r="W5" s="16" t="inlineStr">
        <is>
          <t>Frequency Bands</t>
        </is>
      </c>
      <c r="X5" s="16" t="inlineStr">
        <is>
          <t>Radio Configuration</t>
        </is>
      </c>
      <c r="Y5" s="16" t="inlineStr">
        <is>
          <t>Max Clients</t>
        </is>
      </c>
      <c r="Z5" s="16" t="inlineStr">
        <is>
          <t>MU-MIMO</t>
        </is>
      </c>
      <c r="AA5" s="16" t="inlineStr">
        <is>
          <t>Number of Spatial Streams</t>
        </is>
      </c>
      <c r="AB5" s="16" t="inlineStr">
        <is>
          <t>Maximum EIRP</t>
        </is>
      </c>
      <c r="AC5" s="16" t="inlineStr">
        <is>
          <t>Maximum Channel Width</t>
        </is>
      </c>
      <c r="AD5" s="16" t="inlineStr">
        <is>
          <t>Peak Data Rate</t>
        </is>
      </c>
      <c r="AE5" s="16" t="inlineStr">
        <is>
          <t>Multifunction / WIPS</t>
        </is>
      </c>
      <c r="AF5" s="16" t="inlineStr">
        <is>
          <t>Ethernet Interfaces</t>
        </is>
      </c>
      <c r="AG5" s="16" t="inlineStr">
        <is>
          <t>Input Power</t>
        </is>
      </c>
      <c r="AH5" s="16" t="inlineStr">
        <is>
          <t>Max Power Consumption</t>
        </is>
      </c>
      <c r="AI5" s="16" t="inlineStr">
        <is>
          <t>Chipset / CPU</t>
        </is>
      </c>
      <c r="AJ5" s="16" t="inlineStr">
        <is>
          <t>RAM</t>
        </is>
      </c>
      <c r="AK5" s="16" t="inlineStr">
        <is>
          <t>Flash</t>
        </is>
      </c>
      <c r="AL5" s="16" t="inlineStr">
        <is>
          <t>Physical Dimensions</t>
        </is>
      </c>
      <c r="AM5" s="16" t="inlineStr">
        <is>
          <t>Weight</t>
        </is>
      </c>
      <c r="AN5" s="16" t="inlineStr">
        <is>
          <t>Operating Temperature</t>
        </is>
      </c>
      <c r="AO5" s="16" t="inlineStr">
        <is>
          <t>Storage Temperature</t>
        </is>
      </c>
      <c r="AP5" s="16" t="inlineStr">
        <is>
          <t>Relative Humidity</t>
        </is>
      </c>
      <c r="AQ5" s="16" t="inlineStr">
        <is>
          <t>MTBF</t>
        </is>
      </c>
      <c r="AR5" s="16" t="inlineStr">
        <is>
          <t>Physical Security / TPM</t>
        </is>
      </c>
      <c r="AS5" s="16" t="inlineStr">
        <is>
          <t>IoT / Location</t>
        </is>
      </c>
      <c r="AT5" s="16" t="inlineStr">
        <is>
          <t>Environmental Rating</t>
        </is>
      </c>
    </row>
    <row r="6" ht="104" customHeight="1">
      <c r="A6" s="17" t="n">
        <v>1</v>
      </c>
      <c r="B6" s="19" t="inlineStr">
        <is>
          <t>Wi-Fi 7</t>
        </is>
      </c>
      <c r="C6" s="19" t="inlineStr">
        <is>
          <t>Indoor</t>
        </is>
      </c>
      <c r="D6" s="19" t="inlineStr">
        <is>
          <t>C-460</t>
        </is>
      </c>
      <c r="E6" s="19" t="inlineStr">
        <is>
          <t>AP-C460</t>
        </is>
      </c>
      <c r="F6" s="19" t="inlineStr">
        <is>
          <t>내장 Omni</t>
        </is>
      </c>
      <c r="G6" s="19" t="inlineStr">
        <is>
          <t>-</t>
        </is>
      </c>
      <c r="H6" s="19" t="inlineStr">
        <is>
          <t>4x4 (2.4/5/6GHz)</t>
        </is>
      </c>
      <c r="I6" s="19" t="inlineStr">
        <is>
          <t>11.5 / 5.76 / 1.4 Gbps (6/5/2.4GHz)</t>
        </is>
      </c>
      <c r="J6" s="19" t="inlineStr">
        <is>
          <t>Tri-band 4x4:4</t>
        </is>
      </c>
      <c r="K6" s="19" t="inlineStr">
        <is>
          <t>전용 tri-band 2x2 MFR + IoT/GNSS</t>
        </is>
      </c>
      <c r="L6" s="19" t="inlineStr">
        <is>
          <t>2x10GbE</t>
        </is>
      </c>
      <c r="M6" s="19" t="inlineStr">
        <is>
          <t>PoE++; PoE+ reduced; DC</t>
        </is>
      </c>
      <c r="N6" s="19" t="inlineStr">
        <is>
          <t>천장/벽</t>
        </is>
      </c>
      <c r="O6" s="19" t="inlineStr">
        <is>
          <t>초고밀도 enterprise/campus</t>
        </is>
      </c>
      <c r="P6" s="19" t="inlineStr">
        <is>
          <t>해당 없음(내장 안테나)</t>
        </is>
      </c>
      <c r="Q6" s="19" t="inlineStr">
        <is>
          <t>MNT-AP-24MM 기본; 기타 C-series mounting kit 호환</t>
        </is>
      </c>
      <c r="R6" s="19" t="inlineStr">
        <is>
          <t>2026-06 공식 AP 비교표 등재</t>
        </is>
      </c>
      <c r="S6" s="21" t="inlineStr">
        <is>
          <t>https://www.arista.com/en/products/wifi7-series</t>
        </is>
      </c>
      <c r="T6" s="21" t="inlineStr">
        <is>
          <t>https://www.arista.com/assets/data/pdf/Datasheets/Arista-C-460-Datasheet.pdf</t>
        </is>
      </c>
      <c r="U6" s="19" t="inlineStr"/>
      <c r="V6" s="51" t="inlineStr">
        <is>
          <t>IEEE 802.11be (Wi-Fi 7)</t>
        </is>
      </c>
      <c r="W6" s="51" t="inlineStr">
        <is>
          <t>2.4 / 5 / 6 GHz</t>
        </is>
      </c>
      <c r="X6" s="51" t="inlineStr">
        <is>
          <t>3× 4x4:4 access + dedicated tri-band 2x2 MFR + IoT/GNSS</t>
        </is>
      </c>
      <c r="Y6" s="51" t="inlineStr">
        <is>
          <t>1,533 (511/radio)</t>
        </is>
      </c>
      <c r="Z6" s="51" t="inlineStr">
        <is>
          <t>DL/UL MU-MIMO, up to 4x4</t>
        </is>
      </c>
      <c r="AA6" s="51" t="inlineStr">
        <is>
          <t>4 per access radio; 2 MFR</t>
        </is>
      </c>
      <c r="AB6" s="51" t="inlineStr">
        <is>
          <t>25 dBm (2.4); 27.6 dBm (5); 27.7 dBm (6)</t>
        </is>
      </c>
      <c r="AC6" s="51" t="inlineStr">
        <is>
          <t>40 / 160 / 320 MHz (2.4 / 5 / 6)</t>
        </is>
      </c>
      <c r="AD6" s="51" t="inlineStr">
        <is>
          <t>1.4 / 5.76 / 11.5 Gbps (2.4 / 5 / 6)</t>
        </is>
      </c>
      <c r="AE6" s="51" t="inlineStr">
        <is>
          <t>Dedicated tri-band 2x2 MFR; WIPS/spectrum</t>
        </is>
      </c>
      <c r="AF6" s="51" t="inlineStr">
        <is>
          <t>2x10GbE RJ45</t>
        </is>
      </c>
      <c r="AG6" s="51" t="inlineStr">
        <is>
          <t>802.3bt Class 6 PoE++ or 12VDC/4A; PoE+ reduced mode</t>
        </is>
      </c>
      <c r="AH6" s="51" t="inlineStr">
        <is>
          <t>41.8 W</t>
        </is>
      </c>
      <c r="AI6" s="52" t="inlineStr">
        <is>
          <t>미기재(공식 데이터시트)</t>
        </is>
      </c>
      <c r="AJ6" s="51" t="inlineStr">
        <is>
          <t>3 GB</t>
        </is>
      </c>
      <c r="AK6" s="51" t="inlineStr">
        <is>
          <t>8 GB eMMC</t>
        </is>
      </c>
      <c r="AL6" s="51" t="inlineStr">
        <is>
          <t>240 × 240 × 42.5 mm</t>
        </is>
      </c>
      <c r="AM6" s="51" t="inlineStr">
        <is>
          <t>1.73 kg</t>
        </is>
      </c>
      <c r="AN6" s="51" t="inlineStr">
        <is>
          <t>0 to 45°C</t>
        </is>
      </c>
      <c r="AO6" s="51" t="inlineStr">
        <is>
          <t>-40 to 70°C</t>
        </is>
      </c>
      <c r="AP6" s="51" t="inlineStr">
        <is>
          <t>5–95% non-condensing</t>
        </is>
      </c>
      <c r="AQ6" s="51" t="inlineStr">
        <is>
          <t>1,240,693 h @25°C; 465,728 h @50°C</t>
        </is>
      </c>
      <c r="AR6" s="51" t="inlineStr">
        <is>
          <t>Kensington lock slot; TPM</t>
        </is>
      </c>
      <c r="AS6" s="51" t="inlineStr">
        <is>
          <t>BLE 5.3; HADM/OpenThread/Matter/ZigBee capable; L1+L5 GNSS; 802.11az</t>
        </is>
      </c>
      <c r="AT6" s="51" t="inlineStr">
        <is>
          <t>Indoor</t>
        </is>
      </c>
    </row>
    <row r="7" ht="104" customHeight="1">
      <c r="A7" s="22" t="n">
        <v>2</v>
      </c>
      <c r="B7" s="23" t="inlineStr">
        <is>
          <t>Wi-Fi 7</t>
        </is>
      </c>
      <c r="C7" s="23" t="inlineStr">
        <is>
          <t>Indoor</t>
        </is>
      </c>
      <c r="D7" s="23" t="inlineStr">
        <is>
          <t>C-460E</t>
        </is>
      </c>
      <c r="E7" s="23" t="inlineStr">
        <is>
          <t>AP-C460E</t>
        </is>
      </c>
      <c r="F7" s="23" t="inlineStr">
        <is>
          <t>외장 안테나</t>
        </is>
      </c>
      <c r="G7" s="23" t="inlineStr">
        <is>
          <t>6x RP-SMA (4 access + 2 MFR)</t>
        </is>
      </c>
      <c r="H7" s="23" t="inlineStr">
        <is>
          <t>4x4 (2.4/5/6GHz)</t>
        </is>
      </c>
      <c r="I7" s="23" t="inlineStr">
        <is>
          <t>11.5 / 5.76 / 1.4 Gbps (6/5/2.4GHz)</t>
        </is>
      </c>
      <c r="J7" s="23" t="inlineStr">
        <is>
          <t>Tri-band 4x4:4</t>
        </is>
      </c>
      <c r="K7" s="23" t="inlineStr">
        <is>
          <t>전용 tri-band 2x2 MFR + IoT/GNSS</t>
        </is>
      </c>
      <c r="L7" s="23" t="inlineStr">
        <is>
          <t>2x10GbE</t>
        </is>
      </c>
      <c r="M7" s="23" t="inlineStr">
        <is>
          <t>PoE++; PoE+ reduced; DC</t>
        </is>
      </c>
      <c r="N7" s="23" t="inlineStr">
        <is>
          <t>천장/벽</t>
        </is>
      </c>
      <c r="O7" s="23" t="inlineStr">
        <is>
          <t>초고밀도, 외장 안테나 맞춤형 RF</t>
        </is>
      </c>
      <c r="P7" s="23" t="inlineStr">
        <is>
          <t>ATS-01060, ATS-03286, ATS-03287, ATS-03288, ATS-03289, ATS-03276, ATS-03285, ATS-03411</t>
        </is>
      </c>
      <c r="Q7" s="23" t="inlineStr">
        <is>
          <t>MNT-AP-24MM 기본; 기타 C-series mounting kit 호환</t>
        </is>
      </c>
      <c r="R7" s="23" t="inlineStr">
        <is>
          <t>2026-06 공식 AP 비교표 등재</t>
        </is>
      </c>
      <c r="S7" s="24" t="inlineStr">
        <is>
          <t>https://www.arista.com/en/products/wifi7-series</t>
        </is>
      </c>
      <c r="T7" s="24" t="inlineStr">
        <is>
          <t>https://www.arista.com/assets/data/pdf/Datasheets/Arista-C-460E-Datasheet.pdf</t>
        </is>
      </c>
      <c r="U7" s="23" t="inlineStr">
        <is>
          <t>AFC/국가별 인증과 antenna gain/EIRP 확인 필요</t>
        </is>
      </c>
      <c r="V7" s="53" t="inlineStr">
        <is>
          <t>IEEE 802.11be (Wi-Fi 7)</t>
        </is>
      </c>
      <c r="W7" s="53" t="inlineStr">
        <is>
          <t>2.4 / 5 / 6 GHz</t>
        </is>
      </c>
      <c r="X7" s="53" t="inlineStr">
        <is>
          <t>3× 4x4:4 access + dedicated tri-band 2x2 MFR; 6 RP-SMA external ports</t>
        </is>
      </c>
      <c r="Y7" s="53" t="inlineStr">
        <is>
          <t>1,533 (511/radio)</t>
        </is>
      </c>
      <c r="Z7" s="53" t="inlineStr">
        <is>
          <t>DL/UL MU-MIMO, up to 4x4</t>
        </is>
      </c>
      <c r="AA7" s="53" t="inlineStr">
        <is>
          <t>4 per access radio; 2 MFR</t>
        </is>
      </c>
      <c r="AB7" s="52" t="inlineStr">
        <is>
          <t>Up to 26 dBm (2.4); 34 dBm (5); 34 dBm (6), antenna/regulatory dependent</t>
        </is>
      </c>
      <c r="AC7" s="53" t="inlineStr">
        <is>
          <t>40 / 160 / 320 MHz (2.4 / 5 / 6)</t>
        </is>
      </c>
      <c r="AD7" s="53" t="inlineStr">
        <is>
          <t>1.4 / 5.76 / 11.5 Gbps (2.4 / 5 / 6)</t>
        </is>
      </c>
      <c r="AE7" s="53" t="inlineStr">
        <is>
          <t>Dedicated tri-band 2x2 MFR; WIPS/spectrum</t>
        </is>
      </c>
      <c r="AF7" s="53" t="inlineStr">
        <is>
          <t>2x10GbE RJ45</t>
        </is>
      </c>
      <c r="AG7" s="53" t="inlineStr">
        <is>
          <t>802.3bt Class 6 PoE++ or 12VDC/4A; PoE+ reduced mode</t>
        </is>
      </c>
      <c r="AH7" s="53" t="inlineStr">
        <is>
          <t>41.8 W</t>
        </is>
      </c>
      <c r="AI7" s="52" t="inlineStr">
        <is>
          <t>미기재(공식 데이터시트)</t>
        </is>
      </c>
      <c r="AJ7" s="53" t="inlineStr">
        <is>
          <t>3 GB</t>
        </is>
      </c>
      <c r="AK7" s="53" t="inlineStr">
        <is>
          <t>8 GB eMMC</t>
        </is>
      </c>
      <c r="AL7" s="53" t="inlineStr">
        <is>
          <t>240 × 240 × 45.5 mm</t>
        </is>
      </c>
      <c r="AM7" s="53" t="inlineStr">
        <is>
          <t>1.78 kg</t>
        </is>
      </c>
      <c r="AN7" s="53" t="inlineStr">
        <is>
          <t>0 to 45°C</t>
        </is>
      </c>
      <c r="AO7" s="53" t="inlineStr">
        <is>
          <t>-40 to 70°C</t>
        </is>
      </c>
      <c r="AP7" s="53" t="inlineStr">
        <is>
          <t>5–95% non-condensing</t>
        </is>
      </c>
      <c r="AQ7" s="53" t="inlineStr">
        <is>
          <t>676,276 h @25°C; 318,589 h @50°C</t>
        </is>
      </c>
      <c r="AR7" s="53" t="inlineStr">
        <is>
          <t>Kensington lock slot; TPM</t>
        </is>
      </c>
      <c r="AS7" s="53" t="inlineStr">
        <is>
          <t>BLE 5.3; HADM/OpenThread/Matter/ZigBee capable; L1+L5 GNSS; 802.11az</t>
        </is>
      </c>
      <c r="AT7" s="53" t="inlineStr">
        <is>
          <t>Indoor; external antenna</t>
        </is>
      </c>
    </row>
    <row r="8" ht="104" customHeight="1">
      <c r="A8" s="17" t="n">
        <v>3</v>
      </c>
      <c r="B8" s="19" t="inlineStr">
        <is>
          <t>Wi-Fi 7</t>
        </is>
      </c>
      <c r="C8" s="19" t="inlineStr">
        <is>
          <t>Indoor</t>
        </is>
      </c>
      <c r="D8" s="19" t="inlineStr">
        <is>
          <t>C-460D</t>
        </is>
      </c>
      <c r="E8" s="19" t="inlineStr">
        <is>
          <t>AP-C460D</t>
        </is>
      </c>
      <c r="F8" s="19" t="inlineStr">
        <is>
          <t>내장 Directional (software wide/narrow)</t>
        </is>
      </c>
      <c r="G8" s="19" t="inlineStr">
        <is>
          <t>-</t>
        </is>
      </c>
      <c r="H8" s="19" t="inlineStr">
        <is>
          <t>4x4 (2.4/5/6GHz)</t>
        </is>
      </c>
      <c r="I8" s="19" t="inlineStr">
        <is>
          <t>11.5 / 5.76 / 1.4 Gbps (6/5/2.4GHz)</t>
        </is>
      </c>
      <c r="J8" s="19" t="inlineStr">
        <is>
          <t>Tri-band 4x4:4</t>
        </is>
      </c>
      <c r="K8" s="19" t="inlineStr">
        <is>
          <t>전용 tri-band 2x2 MFR + IoT/GNSS</t>
        </is>
      </c>
      <c r="L8" s="19" t="inlineStr">
        <is>
          <t>2x10GbE</t>
        </is>
      </c>
      <c r="M8" s="19" t="inlineStr">
        <is>
          <t>PoE++; PoE+ reduced; DC</t>
        </is>
      </c>
      <c r="N8" s="19" t="inlineStr">
        <is>
          <t>벽/천장 지향성</t>
        </is>
      </c>
      <c r="O8" s="19" t="inlineStr">
        <is>
          <t>강의실, 복도, 고밀도 방향성 커버리지</t>
        </is>
      </c>
      <c r="P8" s="19" t="inlineStr">
        <is>
          <t>해당 없음(내장 안테나)</t>
        </is>
      </c>
      <c r="Q8" s="19" t="inlineStr">
        <is>
          <t>MNT-AP-24MM 기본; 기타 C-series mounting kit 호환</t>
        </is>
      </c>
      <c r="R8" s="19" t="inlineStr">
        <is>
          <t>2026-06 공식 AP 비교표 등재</t>
        </is>
      </c>
      <c r="S8" s="21" t="inlineStr">
        <is>
          <t>https://www.arista.com/en/products/wifi7-series</t>
        </is>
      </c>
      <c r="T8" s="21" t="inlineStr">
        <is>
          <t>https://www.arista.com/assets/data/pdf/Datasheets/Arista-C-460D-Datasheet.pdf</t>
        </is>
      </c>
      <c r="U8" s="19" t="inlineStr">
        <is>
          <t>내장 빔폭 wide 75x75 / narrow 45x45 software configurable</t>
        </is>
      </c>
      <c r="V8" s="51" t="inlineStr">
        <is>
          <t>IEEE 802.11be (Wi-Fi 7)</t>
        </is>
      </c>
      <c r="W8" s="51" t="inlineStr">
        <is>
          <t>2.4 / 5 / 6 GHz</t>
        </is>
      </c>
      <c r="X8" s="51" t="inlineStr">
        <is>
          <t>3× 4x4:4 directional access + dedicated tri-band 2x2 MFR + IoT/GNSS</t>
        </is>
      </c>
      <c r="Y8" s="51" t="inlineStr">
        <is>
          <t>1,533 (511/radio)</t>
        </is>
      </c>
      <c r="Z8" s="51" t="inlineStr">
        <is>
          <t>DL/UL MU-MIMO, up to 4x4</t>
        </is>
      </c>
      <c r="AA8" s="51" t="inlineStr">
        <is>
          <t>4 per access radio; 2 MFR</t>
        </is>
      </c>
      <c r="AB8" s="51" t="inlineStr">
        <is>
          <t>25 dBm (2.4); 27.6 dBm (5); 27.7 dBm (6)</t>
        </is>
      </c>
      <c r="AC8" s="51" t="inlineStr">
        <is>
          <t>40 / 160 / 320 MHz (2.4 / 5 / 6)</t>
        </is>
      </c>
      <c r="AD8" s="51" t="inlineStr">
        <is>
          <t>1.4 / 5.76 / 11.5 Gbps (2.4 / 5 / 6)</t>
        </is>
      </c>
      <c r="AE8" s="51" t="inlineStr">
        <is>
          <t>Dedicated tri-band 2x2 MFR; WIPS/spectrum</t>
        </is>
      </c>
      <c r="AF8" s="51" t="inlineStr">
        <is>
          <t>2x10GbE RJ45</t>
        </is>
      </c>
      <c r="AG8" s="51" t="inlineStr">
        <is>
          <t>802.3bt Class 6 PoE++ or 12VDC/4A; PoE+ reduced mode</t>
        </is>
      </c>
      <c r="AH8" s="51" t="inlineStr">
        <is>
          <t>44.4 W</t>
        </is>
      </c>
      <c r="AI8" s="52" t="inlineStr">
        <is>
          <t>미기재(공식 데이터시트)</t>
        </is>
      </c>
      <c r="AJ8" s="51" t="inlineStr">
        <is>
          <t>3 GB</t>
        </is>
      </c>
      <c r="AK8" s="51" t="inlineStr">
        <is>
          <t>8 GB eMMC</t>
        </is>
      </c>
      <c r="AL8" s="51" t="inlineStr">
        <is>
          <t>240 × 240 × 42.5 mm</t>
        </is>
      </c>
      <c r="AM8" s="51" t="inlineStr">
        <is>
          <t>2.0 kg</t>
        </is>
      </c>
      <c r="AN8" s="51" t="inlineStr">
        <is>
          <t>0 to 45°C</t>
        </is>
      </c>
      <c r="AO8" s="51" t="inlineStr">
        <is>
          <t>-40 to 70°C</t>
        </is>
      </c>
      <c r="AP8" s="51" t="inlineStr">
        <is>
          <t>5–95% non-condensing</t>
        </is>
      </c>
      <c r="AQ8" s="51" t="inlineStr">
        <is>
          <t>1,240,693 h @25°C; 465,728 h @50°C</t>
        </is>
      </c>
      <c r="AR8" s="51" t="inlineStr">
        <is>
          <t>Kensington lock slot; TPM</t>
        </is>
      </c>
      <c r="AS8" s="51" t="inlineStr">
        <is>
          <t>BLE 5.3; HADM/OpenThread/Matter/ZigBee capable; L1+L5 GNSS; 802.11az</t>
        </is>
      </c>
      <c r="AT8" s="51" t="inlineStr">
        <is>
          <t>Indoor; software-selectable wide/narrow directional beam</t>
        </is>
      </c>
    </row>
    <row r="9" ht="104" customHeight="1">
      <c r="A9" s="22" t="n">
        <v>4</v>
      </c>
      <c r="B9" s="23" t="inlineStr">
        <is>
          <t>Wi-Fi 7</t>
        </is>
      </c>
      <c r="C9" s="23" t="inlineStr">
        <is>
          <t>Indoor</t>
        </is>
      </c>
      <c r="D9" s="23" t="inlineStr">
        <is>
          <t>C-430</t>
        </is>
      </c>
      <c r="E9" s="23" t="inlineStr">
        <is>
          <t>AP-C430</t>
        </is>
      </c>
      <c r="F9" s="23" t="inlineStr">
        <is>
          <t>내장 Omni</t>
        </is>
      </c>
      <c r="G9" s="23" t="inlineStr">
        <is>
          <t>-</t>
        </is>
      </c>
      <c r="H9" s="23" t="inlineStr">
        <is>
          <t>2x2 (2.4/5/6GHz)</t>
        </is>
      </c>
      <c r="I9" s="23" t="inlineStr">
        <is>
          <t>5.75 / 2.88 / 0.7 Gbps</t>
        </is>
      </c>
      <c r="J9" s="23" t="inlineStr">
        <is>
          <t>Tri-band 2x2:2</t>
        </is>
      </c>
      <c r="K9" s="23" t="inlineStr">
        <is>
          <t>전용 tri-band MFR + IoT/GNSS</t>
        </is>
      </c>
      <c r="L9" s="23" t="inlineStr">
        <is>
          <t>2x5GbE</t>
        </is>
      </c>
      <c r="M9" s="23" t="inlineStr">
        <is>
          <t>PoE+; DC</t>
        </is>
      </c>
      <c r="N9" s="23" t="inlineStr">
        <is>
          <t>천장/벽</t>
        </is>
      </c>
      <c r="O9" s="23" t="inlineStr">
        <is>
          <t>고밀도 enterprise/campus</t>
        </is>
      </c>
      <c r="P9" s="23" t="inlineStr">
        <is>
          <t>해당 없음(내장 안테나)</t>
        </is>
      </c>
      <c r="Q9" s="23" t="inlineStr">
        <is>
          <t>MNT-AP-24MM 기본; 기타 C-series mounting kit 호환</t>
        </is>
      </c>
      <c r="R9" s="23" t="inlineStr">
        <is>
          <t>2026-06 공식 AP 비교표 등재</t>
        </is>
      </c>
      <c r="S9" s="24" t="inlineStr">
        <is>
          <t>https://www.arista.com/en/products/wifi7-series</t>
        </is>
      </c>
      <c r="T9" s="24" t="inlineStr">
        <is>
          <t>https://www.arista.com/assets/data/pdf/Datasheets/Arista-C-430-Datasheet.pdf</t>
        </is>
      </c>
      <c r="U9" s="23" t="inlineStr"/>
      <c r="V9" s="53" t="inlineStr">
        <is>
          <t>IEEE 802.11be (Wi-Fi 7)</t>
        </is>
      </c>
      <c r="W9" s="53" t="inlineStr">
        <is>
          <t>2.4 / 5 / 6 GHz</t>
        </is>
      </c>
      <c r="X9" s="53" t="inlineStr">
        <is>
          <t>3× 2x2:2 access + dedicated tri-band 2x2 MFR + IoT/GNSS</t>
        </is>
      </c>
      <c r="Y9" s="53" t="inlineStr">
        <is>
          <t>783 (271/256/256 by band)</t>
        </is>
      </c>
      <c r="Z9" s="53" t="inlineStr">
        <is>
          <t>DL/UL MU-MIMO, 2x2</t>
        </is>
      </c>
      <c r="AA9" s="53" t="inlineStr">
        <is>
          <t>2 per access radio; 2 MFR</t>
        </is>
      </c>
      <c r="AB9" s="53" t="inlineStr">
        <is>
          <t>25 dBm (2.4); 26 dBm (5); 25 dBm (6)</t>
        </is>
      </c>
      <c r="AC9" s="53" t="inlineStr">
        <is>
          <t>40 / 160 / 320 MHz (2.4 / 5 / 6)</t>
        </is>
      </c>
      <c r="AD9" s="53" t="inlineStr">
        <is>
          <t>0.7 / 2.88 / 5.75 Gbps (2.4 / 5 / 6)</t>
        </is>
      </c>
      <c r="AE9" s="53" t="inlineStr">
        <is>
          <t>Dedicated tri-band 2x2 MFR; WIPS/spectrum</t>
        </is>
      </c>
      <c r="AF9" s="53" t="inlineStr">
        <is>
          <t>2x5GbE RJ45; MACsec capable</t>
        </is>
      </c>
      <c r="AG9" s="53" t="inlineStr">
        <is>
          <t>802.3at PoE+ or 12VDC/3.3A</t>
        </is>
      </c>
      <c r="AH9" s="53" t="inlineStr">
        <is>
          <t>24 W</t>
        </is>
      </c>
      <c r="AI9" s="52" t="inlineStr">
        <is>
          <t>미기재(공식 데이터시트)</t>
        </is>
      </c>
      <c r="AJ9" s="53" t="inlineStr">
        <is>
          <t>3 GB</t>
        </is>
      </c>
      <c r="AK9" s="53" t="inlineStr">
        <is>
          <t>32 MB NOR + 8 GB eMMC</t>
        </is>
      </c>
      <c r="AL9" s="53" t="inlineStr">
        <is>
          <t>225 × 225 × 45 mm</t>
        </is>
      </c>
      <c r="AM9" s="53" t="inlineStr">
        <is>
          <t>1.47 kg</t>
        </is>
      </c>
      <c r="AN9" s="53" t="inlineStr">
        <is>
          <t>0 to 45°C</t>
        </is>
      </c>
      <c r="AO9" s="53" t="inlineStr">
        <is>
          <t>-40 to 70°C</t>
        </is>
      </c>
      <c r="AP9" s="53" t="inlineStr">
        <is>
          <t>5–95% non-condensing</t>
        </is>
      </c>
      <c r="AQ9" s="53" t="inlineStr">
        <is>
          <t>1,077,435 h @25°C; 52,225 h @50°C</t>
        </is>
      </c>
      <c r="AR9" s="53" t="inlineStr">
        <is>
          <t>Kensington lock slot; TPM</t>
        </is>
      </c>
      <c r="AS9" s="53" t="inlineStr">
        <is>
          <t>BLE/Thread/Matter/ZigBee capable; GNSS; 802.11az</t>
        </is>
      </c>
      <c r="AT9" s="53" t="inlineStr">
        <is>
          <t>Indoor</t>
        </is>
      </c>
    </row>
    <row r="10" ht="104" customHeight="1">
      <c r="A10" s="17" t="n">
        <v>5</v>
      </c>
      <c r="B10" s="19" t="inlineStr">
        <is>
          <t>Wi-Fi 7</t>
        </is>
      </c>
      <c r="C10" s="19" t="inlineStr">
        <is>
          <t>Indoor</t>
        </is>
      </c>
      <c r="D10" s="19" t="inlineStr">
        <is>
          <t>C-400</t>
        </is>
      </c>
      <c r="E10" s="19" t="inlineStr">
        <is>
          <t>AP-C400</t>
        </is>
      </c>
      <c r="F10" s="19" t="inlineStr">
        <is>
          <t>내장 Omni</t>
        </is>
      </c>
      <c r="G10" s="19" t="inlineStr">
        <is>
          <t>-</t>
        </is>
      </c>
      <c r="H10" s="19" t="inlineStr">
        <is>
          <t>2x2 (2.4/5/6GHz)</t>
        </is>
      </c>
      <c r="I10" s="19" t="inlineStr">
        <is>
          <t>5.75 / 2.88 / 0.7 Gbps</t>
        </is>
      </c>
      <c r="J10" s="19" t="inlineStr">
        <is>
          <t>Tri-band 2x2:2</t>
        </is>
      </c>
      <c r="K10" s="19" t="inlineStr">
        <is>
          <t>전용 MFR 없음; background scan/WIPS</t>
        </is>
      </c>
      <c r="L10" s="19" t="inlineStr">
        <is>
          <t>1x5GbE</t>
        </is>
      </c>
      <c r="M10" s="19" t="inlineStr">
        <is>
          <t>PoE+; DC</t>
        </is>
      </c>
      <c r="N10" s="19" t="inlineStr">
        <is>
          <t>천장/벽</t>
        </is>
      </c>
      <c r="O10" s="19" t="inlineStr">
        <is>
          <t>중간 밀도, cost-optimized Wi-Fi 7</t>
        </is>
      </c>
      <c r="P10" s="19" t="inlineStr">
        <is>
          <t>해당 없음(내장 안테나)</t>
        </is>
      </c>
      <c r="Q10" s="19" t="inlineStr">
        <is>
          <t>MNT-AP-24MM 기본; 기타 C-series mounting kit 호환</t>
        </is>
      </c>
      <c r="R10" s="19" t="inlineStr">
        <is>
          <t>2026-06 공식 AP 비교표 등재</t>
        </is>
      </c>
      <c r="S10" s="21" t="inlineStr">
        <is>
          <t>https://www.arista.com/en/products/wifi7-series</t>
        </is>
      </c>
      <c r="T10" s="21" t="inlineStr">
        <is>
          <t>https://www.arista.com/assets/data/pdf/Datasheets/Arista-C-400-Datasheet.pdf</t>
        </is>
      </c>
      <c r="U10" s="19" t="inlineStr"/>
      <c r="V10" s="51" t="inlineStr">
        <is>
          <t>IEEE 802.11be (Wi-Fi 7)</t>
        </is>
      </c>
      <c r="W10" s="51" t="inlineStr">
        <is>
          <t>2.4 / 5 / 6 GHz</t>
        </is>
      </c>
      <c r="X10" s="51" t="inlineStr">
        <is>
          <t>3× 2x2:2 access radios; no dedicated MFR</t>
        </is>
      </c>
      <c r="Y10" s="51" t="inlineStr">
        <is>
          <t>783</t>
        </is>
      </c>
      <c r="Z10" s="51" t="inlineStr">
        <is>
          <t>DL/UL MU-MIMO, 2x2</t>
        </is>
      </c>
      <c r="AA10" s="51" t="inlineStr">
        <is>
          <t>2 per access radio</t>
        </is>
      </c>
      <c r="AB10" s="51" t="inlineStr">
        <is>
          <t>27 dBm (2.4); 25 dBm (5); 23 dBm (6)</t>
        </is>
      </c>
      <c r="AC10" s="51" t="inlineStr">
        <is>
          <t>40 / 160 / 320 MHz (2.4 / 5 / 6)</t>
        </is>
      </c>
      <c r="AD10" s="51" t="inlineStr">
        <is>
          <t>0.688 / 2.88 / 5.76 Gbps (2.4 / 5 / 6)</t>
        </is>
      </c>
      <c r="AE10" s="51" t="inlineStr">
        <is>
          <t>Background scan / WIPS using access radios</t>
        </is>
      </c>
      <c r="AF10" s="51" t="inlineStr">
        <is>
          <t>1x5GbE RJ45</t>
        </is>
      </c>
      <c r="AG10" s="51" t="inlineStr">
        <is>
          <t>802.3at PoE+ or 12VDC/2A; 802.3af reduced mode</t>
        </is>
      </c>
      <c r="AH10" s="51" t="inlineStr">
        <is>
          <t>22 W</t>
        </is>
      </c>
      <c r="AI10" s="52" t="inlineStr">
        <is>
          <t>미기재(공식 데이터시트)</t>
        </is>
      </c>
      <c r="AJ10" s="51" t="inlineStr">
        <is>
          <t>2 GB</t>
        </is>
      </c>
      <c r="AK10" s="51" t="inlineStr">
        <is>
          <t>16 MB NOR + 8 GB eMMC</t>
        </is>
      </c>
      <c r="AL10" s="51" t="inlineStr">
        <is>
          <t>185 × 185 × 45 mm</t>
        </is>
      </c>
      <c r="AM10" s="51" t="inlineStr">
        <is>
          <t>1.09 kg</t>
        </is>
      </c>
      <c r="AN10" s="51" t="inlineStr">
        <is>
          <t>0 to 45°C</t>
        </is>
      </c>
      <c r="AO10" s="51" t="inlineStr">
        <is>
          <t>-40 to 70°C</t>
        </is>
      </c>
      <c r="AP10" s="51" t="inlineStr">
        <is>
          <t>5–95% non-condensing</t>
        </is>
      </c>
      <c r="AQ10" s="51" t="inlineStr">
        <is>
          <t>278,027 h @30°C; 266,690 h @45°C</t>
        </is>
      </c>
      <c r="AR10" s="51" t="inlineStr">
        <is>
          <t>Kensington lock slot; TPM</t>
        </is>
      </c>
      <c r="AS10" s="51" t="inlineStr">
        <is>
          <t>GNSS/location services; 802.11az</t>
        </is>
      </c>
      <c r="AT10" s="51" t="inlineStr">
        <is>
          <t>Indoor</t>
        </is>
      </c>
    </row>
    <row r="11" ht="104" customHeight="1">
      <c r="A11" s="22" t="n">
        <v>6</v>
      </c>
      <c r="B11" s="23" t="inlineStr">
        <is>
          <t>Wi-Fi 7</t>
        </is>
      </c>
      <c r="C11" s="23" t="inlineStr">
        <is>
          <t>Outdoor</t>
        </is>
      </c>
      <c r="D11" s="23" t="inlineStr">
        <is>
          <t>O-435</t>
        </is>
      </c>
      <c r="E11" s="23" t="inlineStr">
        <is>
          <t>AP-O435</t>
        </is>
      </c>
      <c r="F11" s="23" t="inlineStr">
        <is>
          <t>내장 Omni</t>
        </is>
      </c>
      <c r="G11" s="23" t="inlineStr">
        <is>
          <t>-</t>
        </is>
      </c>
      <c r="H11" s="23" t="inlineStr">
        <is>
          <t>2x2 (2.4/5/6GHz)</t>
        </is>
      </c>
      <c r="I11" s="23" t="inlineStr">
        <is>
          <t>5.75 / 2.88 / 0.7 Gbps</t>
        </is>
      </c>
      <c r="J11" s="23" t="inlineStr">
        <is>
          <t>Tri-band 2x2:2</t>
        </is>
      </c>
      <c r="K11" s="23" t="inlineStr">
        <is>
          <t>전용 tri-band MFR + IoT/GNSS</t>
        </is>
      </c>
      <c r="L11" s="23" t="inlineStr">
        <is>
          <t>1x5GbE + optional PSE</t>
        </is>
      </c>
      <c r="M11" s="23" t="inlineStr">
        <is>
          <t>PoE++; PoE+ reduced</t>
        </is>
      </c>
      <c r="N11" s="23" t="inlineStr">
        <is>
          <t>폴/벽</t>
        </is>
      </c>
      <c r="O11" s="23" t="inlineStr">
        <is>
          <t>고밀도 outdoor campus, IP67</t>
        </is>
      </c>
      <c r="P11" s="23" t="inlineStr">
        <is>
          <t>해당 없음(내장 안테나)</t>
        </is>
      </c>
      <c r="Q11" s="23" t="inlineStr">
        <is>
          <t>Outdoor pole/wall mount 동봉</t>
        </is>
      </c>
      <c r="R11" s="23" t="inlineStr">
        <is>
          <t>2026-06 공식 AP 비교표 등재</t>
        </is>
      </c>
      <c r="S11" s="24" t="inlineStr">
        <is>
          <t>https://www.arista.com/en/products/wifi7-series</t>
        </is>
      </c>
      <c r="T11" s="24" t="inlineStr">
        <is>
          <t>https://www.arista.com/assets/data/pdf/Datasheets/Arista-O-435-Datasheet.pdf</t>
        </is>
      </c>
      <c r="U11" s="23" t="inlineStr"/>
      <c r="V11" s="53" t="inlineStr">
        <is>
          <t>IEEE 802.11be (Wi-Fi 7)</t>
        </is>
      </c>
      <c r="W11" s="53" t="inlineStr">
        <is>
          <t>2.4 / 5 / 6 GHz</t>
        </is>
      </c>
      <c r="X11" s="53" t="inlineStr">
        <is>
          <t>3× 2x2:2 access + dedicated tri-band 2x2 MFR + BLE/ZigBee/GNSS</t>
        </is>
      </c>
      <c r="Y11" s="53" t="inlineStr">
        <is>
          <t>783</t>
        </is>
      </c>
      <c r="Z11" s="53" t="inlineStr">
        <is>
          <t>DL/UL MU-MIMO, 2x2</t>
        </is>
      </c>
      <c r="AA11" s="53" t="inlineStr">
        <is>
          <t>2 per access radio; 2 MFR</t>
        </is>
      </c>
      <c r="AB11" s="53" t="inlineStr">
        <is>
          <t>Up to 26 dBm (2.4); 26 dBm (5); 25 dBm (6)</t>
        </is>
      </c>
      <c r="AC11" s="53" t="inlineStr">
        <is>
          <t>40 / 160 / 320 MHz (2.4 / 5 / 6)</t>
        </is>
      </c>
      <c r="AD11" s="53" t="inlineStr">
        <is>
          <t>0.7 / 2.88 / 5.75 Gbps (2.4 / 5 / 6)</t>
        </is>
      </c>
      <c r="AE11" s="53" t="inlineStr">
        <is>
          <t>Dedicated tri-band 2x2 MFR; WIPS/spectrum</t>
        </is>
      </c>
      <c r="AF11" s="53" t="inlineStr">
        <is>
          <t>LAN1 5GbE PoE++/MACsec + LAN2 5GbE PSE (802.3af)</t>
        </is>
      </c>
      <c r="AG11" s="53" t="inlineStr">
        <is>
          <t>802.3bt Class 6; PoE+ reduced and LAN2 PSE disabled</t>
        </is>
      </c>
      <c r="AH11" s="53" t="inlineStr">
        <is>
          <t>33 W</t>
        </is>
      </c>
      <c r="AI11" s="53" t="inlineStr">
        <is>
          <t>Qualcomm IPQ8071A 1GHz quad-core ARM; QCN5154/QCN5124; QCA9882 MFR</t>
        </is>
      </c>
      <c r="AJ11" s="53" t="inlineStr">
        <is>
          <t>3 GB</t>
        </is>
      </c>
      <c r="AK11" s="53" t="inlineStr">
        <is>
          <t>512 MB</t>
        </is>
      </c>
      <c r="AL11" s="53" t="inlineStr">
        <is>
          <t>262 × 256 × 59 mm</t>
        </is>
      </c>
      <c r="AM11" s="53" t="inlineStr">
        <is>
          <t>1.86 kg</t>
        </is>
      </c>
      <c r="AN11" s="53" t="inlineStr">
        <is>
          <t>-40 to 65°C</t>
        </is>
      </c>
      <c r="AO11" s="53" t="inlineStr">
        <is>
          <t>-40 to 70°C</t>
        </is>
      </c>
      <c r="AP11" s="53" t="inlineStr">
        <is>
          <t>5–95% non-condensing</t>
        </is>
      </c>
      <c r="AQ11" s="53" t="inlineStr">
        <is>
          <t>1,077,089 h @25°C; 263,780 h @65°C</t>
        </is>
      </c>
      <c r="AR11" s="52" t="inlineStr">
        <is>
          <t>미기재(공식 데이터시트)</t>
        </is>
      </c>
      <c r="AS11" s="53" t="inlineStr">
        <is>
          <t>BLE, ZigBee and GNSS/location</t>
        </is>
      </c>
      <c r="AT11" s="53" t="inlineStr">
        <is>
          <t>Outdoor; IP67</t>
        </is>
      </c>
    </row>
    <row r="12" ht="104" customHeight="1">
      <c r="A12" s="17" t="n">
        <v>7</v>
      </c>
      <c r="B12" s="19" t="inlineStr">
        <is>
          <t>Wi-Fi 7</t>
        </is>
      </c>
      <c r="C12" s="19" t="inlineStr">
        <is>
          <t>Outdoor</t>
        </is>
      </c>
      <c r="D12" s="19" t="inlineStr">
        <is>
          <t>O-435E</t>
        </is>
      </c>
      <c r="E12" s="19" t="inlineStr">
        <is>
          <t>AP-O435E</t>
        </is>
      </c>
      <c r="F12" s="19" t="inlineStr">
        <is>
          <t>외장 안테나</t>
        </is>
      </c>
      <c r="G12" s="19" t="inlineStr">
        <is>
          <t>6x N-Type (access + MFR)</t>
        </is>
      </c>
      <c r="H12" s="19" t="inlineStr">
        <is>
          <t>2x2 (2.4/5/6GHz)</t>
        </is>
      </c>
      <c r="I12" s="19" t="inlineStr">
        <is>
          <t>5.75 / 2.88 / 0.7 Gbps</t>
        </is>
      </c>
      <c r="J12" s="19" t="inlineStr">
        <is>
          <t>Tri-band 2x2:2</t>
        </is>
      </c>
      <c r="K12" s="19" t="inlineStr">
        <is>
          <t>전용 tri-band MFR + IoT/GNSS</t>
        </is>
      </c>
      <c r="L12" s="19" t="inlineStr">
        <is>
          <t>1x5GbE + optional PSE</t>
        </is>
      </c>
      <c r="M12" s="19" t="inlineStr">
        <is>
          <t>PoE++; PoE+ reduced</t>
        </is>
      </c>
      <c r="N12" s="19" t="inlineStr">
        <is>
          <t>폴/벽</t>
        </is>
      </c>
      <c r="O12" s="19" t="inlineStr">
        <is>
          <t>고밀도 outdoor, 외장 안테나 RF 설계, IP67</t>
        </is>
      </c>
      <c r="P12" s="19" t="inlineStr">
        <is>
          <t>ATS-03278, ATS-03280, ATS-03281, ATS-03282, ATS-03283, ATS-03262, ATS-03279, ATS-03412, 607904</t>
        </is>
      </c>
      <c r="Q12" s="19" t="inlineStr">
        <is>
          <t>Outdoor pole/wall mount 동봉</t>
        </is>
      </c>
      <c r="R12" s="19" t="inlineStr">
        <is>
          <t>2026-06 공식 AP 비교표 등재</t>
        </is>
      </c>
      <c r="S12" s="21" t="inlineStr">
        <is>
          <t>https://www.arista.com/en/products/wifi7-series</t>
        </is>
      </c>
      <c r="T12" s="21" t="inlineStr">
        <is>
          <t>https://www.arista.com/assets/data/pdf/Datasheets/Arista-O-435E-Datasheet.pdf</t>
        </is>
      </c>
      <c r="U12" s="19" t="inlineStr">
        <is>
          <t>AFC/국가별 인증과 antenna gain/EIRP 확인 필요</t>
        </is>
      </c>
      <c r="V12" s="51" t="inlineStr">
        <is>
          <t>IEEE 802.11be (Wi-Fi 7)</t>
        </is>
      </c>
      <c r="W12" s="51" t="inlineStr">
        <is>
          <t>2.4 / 5 / 6 GHz</t>
        </is>
      </c>
      <c r="X12" s="51" t="inlineStr">
        <is>
          <t>3× 2x2:2 access + dedicated tri-band 2x2 MFR; 6 N-Type external ports</t>
        </is>
      </c>
      <c r="Y12" s="51" t="inlineStr">
        <is>
          <t>783</t>
        </is>
      </c>
      <c r="Z12" s="51" t="inlineStr">
        <is>
          <t>DL/UL MU-MIMO, 2x2</t>
        </is>
      </c>
      <c r="AA12" s="51" t="inlineStr">
        <is>
          <t>2 per access radio; 2 MFR</t>
        </is>
      </c>
      <c r="AB12" s="52" t="inlineStr">
        <is>
          <t>Antenna/regulatory dependent; platform up to 26 dBm (2.4/5), 25 dBm (6)</t>
        </is>
      </c>
      <c r="AC12" s="51" t="inlineStr">
        <is>
          <t>40 / 160 / 320 MHz (2.4 / 5 / 6)</t>
        </is>
      </c>
      <c r="AD12" s="51" t="inlineStr">
        <is>
          <t>0.7 / 2.88 / 5.75 Gbps (2.4 / 5 / 6)</t>
        </is>
      </c>
      <c r="AE12" s="51" t="inlineStr">
        <is>
          <t>Dedicated tri-band 2x2 MFR; WIPS/spectrum</t>
        </is>
      </c>
      <c r="AF12" s="51" t="inlineStr">
        <is>
          <t>LAN1 5GbE PoE++/MACsec + LAN2 5GbE PSE (802.3af)</t>
        </is>
      </c>
      <c r="AG12" s="51" t="inlineStr">
        <is>
          <t>802.3bt Class 6; PoE+ reduced and LAN2 PSE disabled</t>
        </is>
      </c>
      <c r="AH12" s="51" t="inlineStr">
        <is>
          <t>33 W</t>
        </is>
      </c>
      <c r="AI12" s="51" t="inlineStr">
        <is>
          <t>Qualcomm IPQ8071A 1GHz quad-core ARM; QCN5154/QCN5124; QCA9882 MFR</t>
        </is>
      </c>
      <c r="AJ12" s="51" t="inlineStr">
        <is>
          <t>3 GB</t>
        </is>
      </c>
      <c r="AK12" s="51" t="inlineStr">
        <is>
          <t>512 MB</t>
        </is>
      </c>
      <c r="AL12" s="51" t="inlineStr">
        <is>
          <t>262 × 256 × 59 mm</t>
        </is>
      </c>
      <c r="AM12" s="51" t="inlineStr">
        <is>
          <t>2.0 kg</t>
        </is>
      </c>
      <c r="AN12" s="51" t="inlineStr">
        <is>
          <t>-40 to 65°C</t>
        </is>
      </c>
      <c r="AO12" s="51" t="inlineStr">
        <is>
          <t>-40 to 70°C</t>
        </is>
      </c>
      <c r="AP12" s="51" t="inlineStr">
        <is>
          <t>5–95% non-condensing</t>
        </is>
      </c>
      <c r="AQ12" s="51" t="inlineStr">
        <is>
          <t>1,077,089 h @25°C; 263,780 h @65°C</t>
        </is>
      </c>
      <c r="AR12" s="52" t="inlineStr">
        <is>
          <t>미기재(공식 데이터시트)</t>
        </is>
      </c>
      <c r="AS12" s="51" t="inlineStr">
        <is>
          <t>BLE, ZigBee and GNSS/location</t>
        </is>
      </c>
      <c r="AT12" s="51" t="inlineStr">
        <is>
          <t>Outdoor; IP67; external antenna</t>
        </is>
      </c>
    </row>
    <row r="13" ht="104" customHeight="1">
      <c r="A13" s="22" t="n">
        <v>8</v>
      </c>
      <c r="B13" s="23" t="inlineStr">
        <is>
          <t>Wi-Fi 7</t>
        </is>
      </c>
      <c r="C13" s="23" t="inlineStr">
        <is>
          <t>Outdoor</t>
        </is>
      </c>
      <c r="D13" s="23" t="inlineStr">
        <is>
          <t>O-405</t>
        </is>
      </c>
      <c r="E13" s="23" t="inlineStr">
        <is>
          <t>AP-O405</t>
        </is>
      </c>
      <c r="F13" s="23" t="inlineStr">
        <is>
          <t>내장 Omni</t>
        </is>
      </c>
      <c r="G13" s="23" t="inlineStr">
        <is>
          <t>-</t>
        </is>
      </c>
      <c r="H13" s="23" t="inlineStr">
        <is>
          <t>2x2 (2.4/5/6GHz)</t>
        </is>
      </c>
      <c r="I13" s="23" t="inlineStr">
        <is>
          <t>5.75 / 2.88 / 0.7 Gbps</t>
        </is>
      </c>
      <c r="J13" s="23" t="inlineStr">
        <is>
          <t>Tri-band 2x2:2</t>
        </is>
      </c>
      <c r="K13" s="23" t="inlineStr">
        <is>
          <t>전용 MFR 없음; background scan/WIPS + GNSS</t>
        </is>
      </c>
      <c r="L13" s="23" t="inlineStr">
        <is>
          <t>1x5GbE + 1x10G SFP+</t>
        </is>
      </c>
      <c r="M13" s="23" t="inlineStr">
        <is>
          <t>PoE+</t>
        </is>
      </c>
      <c r="N13" s="23" t="inlineStr">
        <is>
          <t>폴/벽</t>
        </is>
      </c>
      <c r="O13" s="23" t="inlineStr">
        <is>
          <t>중저밀도 outdoor campus/warehouse, IP67</t>
        </is>
      </c>
      <c r="P13" s="23" t="inlineStr">
        <is>
          <t>해당 없음(내장 안테나)</t>
        </is>
      </c>
      <c r="Q13" s="23" t="inlineStr">
        <is>
          <t>Outdoor pole/wall mount 동봉</t>
        </is>
      </c>
      <c r="R13" s="23" t="inlineStr">
        <is>
          <t>2026-06 공식 AP 비교표 등재</t>
        </is>
      </c>
      <c r="S13" s="24" t="inlineStr">
        <is>
          <t>https://www.arista.com/en/products/wifi7-series</t>
        </is>
      </c>
      <c r="T13" s="24" t="inlineStr">
        <is>
          <t>https://www.arista.com/assets/data/pdf/Datasheets/Arista-O-405-Datasheet.pdf</t>
        </is>
      </c>
      <c r="U13" s="23" t="inlineStr"/>
      <c r="V13" s="53" t="inlineStr">
        <is>
          <t>IEEE 802.11be (Wi-Fi 7)</t>
        </is>
      </c>
      <c r="W13" s="53" t="inlineStr">
        <is>
          <t>2.4 / 5 / 6 GHz</t>
        </is>
      </c>
      <c r="X13" s="53" t="inlineStr">
        <is>
          <t>3× 2x2:2 access radios; no dedicated MFR</t>
        </is>
      </c>
      <c r="Y13" s="53" t="inlineStr">
        <is>
          <t>783</t>
        </is>
      </c>
      <c r="Z13" s="53" t="inlineStr">
        <is>
          <t>DL/UL MU-MIMO, 2x2</t>
        </is>
      </c>
      <c r="AA13" s="53" t="inlineStr">
        <is>
          <t>2 per access radio</t>
        </is>
      </c>
      <c r="AB13" s="53" t="inlineStr">
        <is>
          <t>33 dBm (2.4); 32 dBm (5); 31 dBm (6)</t>
        </is>
      </c>
      <c r="AC13" s="53" t="inlineStr">
        <is>
          <t>40 / 160 / 320 MHz (2.4 / 5 / 6)</t>
        </is>
      </c>
      <c r="AD13" s="53" t="inlineStr">
        <is>
          <t>0.688 / 2.88 / 5.76 Gbps (2.4 / 5 / 6)</t>
        </is>
      </c>
      <c r="AE13" s="53" t="inlineStr">
        <is>
          <t>Background scan / WIPS using access radios</t>
        </is>
      </c>
      <c r="AF13" s="53" t="inlineStr">
        <is>
          <t>1x5GbE RJ45 + 1x10G SFP+</t>
        </is>
      </c>
      <c r="AG13" s="53" t="inlineStr">
        <is>
          <t>802.3at PoE+</t>
        </is>
      </c>
      <c r="AH13" s="53" t="inlineStr">
        <is>
          <t>25 W</t>
        </is>
      </c>
      <c r="AI13" s="52" t="inlineStr">
        <is>
          <t>미기재(공식 데이터시트)</t>
        </is>
      </c>
      <c r="AJ13" s="53" t="inlineStr">
        <is>
          <t>2 GB</t>
        </is>
      </c>
      <c r="AK13" s="53" t="inlineStr">
        <is>
          <t>16 MB NOR + 8 GB eMMC</t>
        </is>
      </c>
      <c r="AL13" s="53" t="inlineStr">
        <is>
          <t>205 × 175 × 65 mm</t>
        </is>
      </c>
      <c r="AM13" s="53" t="inlineStr">
        <is>
          <t>1.7 kg</t>
        </is>
      </c>
      <c r="AN13" s="53" t="inlineStr">
        <is>
          <t>-30 to 65°C</t>
        </is>
      </c>
      <c r="AO13" s="53" t="inlineStr">
        <is>
          <t>-40 to 70°C</t>
        </is>
      </c>
      <c r="AP13" s="53" t="inlineStr">
        <is>
          <t>5–95% non-condensing</t>
        </is>
      </c>
      <c r="AQ13" s="52" t="inlineStr">
        <is>
          <t>1,400,000 h @25°C; 1,100,00 h @65°C (PDF notation)</t>
        </is>
      </c>
      <c r="AR13" s="53" t="inlineStr">
        <is>
          <t>Kensington lock slot; TPM</t>
        </is>
      </c>
      <c r="AS13" s="53" t="inlineStr">
        <is>
          <t>GNSS/location; 802.11az</t>
        </is>
      </c>
      <c r="AT13" s="53" t="inlineStr">
        <is>
          <t>Outdoor; IP67</t>
        </is>
      </c>
    </row>
    <row r="14" ht="104" customHeight="1">
      <c r="A14" s="43" t="n">
        <v>9</v>
      </c>
      <c r="B14" s="44" t="inlineStr">
        <is>
          <t>Wi-Fi 7</t>
        </is>
      </c>
      <c r="C14" s="44" t="inlineStr">
        <is>
          <t>Outdoor</t>
        </is>
      </c>
      <c r="D14" s="44" t="inlineStr">
        <is>
          <t>O-405E</t>
        </is>
      </c>
      <c r="E14" s="44" t="inlineStr">
        <is>
          <t>AP-O405E</t>
        </is>
      </c>
      <c r="F14" s="44" t="inlineStr">
        <is>
          <t>외장 안테나</t>
        </is>
      </c>
      <c r="G14" s="44" t="inlineStr">
        <is>
          <t>4x N-Type</t>
        </is>
      </c>
      <c r="H14" s="44" t="inlineStr">
        <is>
          <t>2x2 (2.4/5/6GHz)</t>
        </is>
      </c>
      <c r="I14" s="44" t="inlineStr">
        <is>
          <t>5.76 / 2.88 / 0.688 Gbps</t>
        </is>
      </c>
      <c r="J14" s="44" t="inlineStr">
        <is>
          <t>Tri-band 2x2:2</t>
        </is>
      </c>
      <c r="K14" s="44" t="inlineStr">
        <is>
          <t>전용 MFR 없음; background scan/WIPS + GNSS</t>
        </is>
      </c>
      <c r="L14" s="44" t="inlineStr">
        <is>
          <t>1x5GbE + 1x10G SFP+</t>
        </is>
      </c>
      <c r="M14" s="44" t="inlineStr">
        <is>
          <t>PoE+</t>
        </is>
      </c>
      <c r="N14" s="44" t="inlineStr">
        <is>
          <t>폴/벽</t>
        </is>
      </c>
      <c r="O14" s="44" t="inlineStr">
        <is>
          <t>중저밀도 outdoor, external antenna, IP67</t>
        </is>
      </c>
      <c r="P14" s="44" t="inlineStr">
        <is>
          <t>공식 2026-01 Antenna Selection Guide 미표기; AP 데이터시트는 guide 참조 지시. BOM/규제 검증 필요.</t>
        </is>
      </c>
      <c r="Q14" s="44" t="inlineStr">
        <is>
          <t>Outdoor pole/wall mount 동봉</t>
        </is>
      </c>
      <c r="R14" s="44" t="inlineStr">
        <is>
          <t>2026-06 공식 AP 비교표 등재</t>
        </is>
      </c>
      <c r="S14" s="45" t="inlineStr">
        <is>
          <t>https://www.arista.com/en/products/wifi7-series</t>
        </is>
      </c>
      <c r="T14" s="45" t="inlineStr">
        <is>
          <t>https://www.arista.com/assets/data/pdf/Datasheets/Arista-O-405E-Datasheet.pdf</t>
        </is>
      </c>
      <c r="U14" s="40" t="inlineStr">
        <is>
          <t>2026-04-16 개별 데이터시트 확인; 안테나는 미포함</t>
        </is>
      </c>
      <c r="V14" s="61" t="inlineStr">
        <is>
          <t>IEEE 802.11be (Wi-Fi 7)</t>
        </is>
      </c>
      <c r="W14" s="61" t="inlineStr">
        <is>
          <t>2.4 / 5 / 6 GHz</t>
        </is>
      </c>
      <c r="X14" s="61" t="inlineStr">
        <is>
          <t>3× 2x2:2 access radios; 4 N-Type external ports; no dedicated MFR</t>
        </is>
      </c>
      <c r="Y14" s="61" t="inlineStr">
        <is>
          <t>783</t>
        </is>
      </c>
      <c r="Z14" s="61" t="inlineStr">
        <is>
          <t>DL/UL MU-MIMO, 2x2</t>
        </is>
      </c>
      <c r="AA14" s="61" t="inlineStr">
        <is>
          <t>2 per access radio</t>
        </is>
      </c>
      <c r="AB14" s="52" t="inlineStr">
        <is>
          <t>Antenna/regulatory dependent; platform up to 33/32/31 dBm (2.4/5/6)</t>
        </is>
      </c>
      <c r="AC14" s="61" t="inlineStr">
        <is>
          <t>40 / 160 / 320 MHz (2.4 / 5 / 6)</t>
        </is>
      </c>
      <c r="AD14" s="61" t="inlineStr">
        <is>
          <t>0.688 / 2.88 / 5.76 Gbps (2.4 / 5 / 6)</t>
        </is>
      </c>
      <c r="AE14" s="61" t="inlineStr">
        <is>
          <t>Background scan / WIPS using access radios</t>
        </is>
      </c>
      <c r="AF14" s="61" t="inlineStr">
        <is>
          <t>1x5GbE RJ45 + 1x10G SFP+</t>
        </is>
      </c>
      <c r="AG14" s="61" t="inlineStr">
        <is>
          <t>802.3at PoE+</t>
        </is>
      </c>
      <c r="AH14" s="61" t="inlineStr">
        <is>
          <t>25 W</t>
        </is>
      </c>
      <c r="AI14" s="52" t="inlineStr">
        <is>
          <t>미기재(공식 데이터시트)</t>
        </is>
      </c>
      <c r="AJ14" s="61" t="inlineStr">
        <is>
          <t>2 GB</t>
        </is>
      </c>
      <c r="AK14" s="61" t="inlineStr">
        <is>
          <t>16 MB NOR + 8 GB eMMC</t>
        </is>
      </c>
      <c r="AL14" s="61" t="inlineStr">
        <is>
          <t>205 × 175 × 65 mm</t>
        </is>
      </c>
      <c r="AM14" s="61" t="inlineStr">
        <is>
          <t>1.7 kg</t>
        </is>
      </c>
      <c r="AN14" s="61" t="inlineStr">
        <is>
          <t>-30 to 65°C</t>
        </is>
      </c>
      <c r="AO14" s="61" t="inlineStr">
        <is>
          <t>-40 to 70°C</t>
        </is>
      </c>
      <c r="AP14" s="61" t="inlineStr">
        <is>
          <t>5–95% non-condensing</t>
        </is>
      </c>
      <c r="AQ14" s="52" t="inlineStr">
        <is>
          <t>1,400,000 h @25°C; 1,100,00 h @65°C (PDF notation)</t>
        </is>
      </c>
      <c r="AR14" s="61" t="inlineStr">
        <is>
          <t>Kensington lock slot; TPM</t>
        </is>
      </c>
      <c r="AS14" s="61" t="inlineStr">
        <is>
          <t>GNSS/location; 802.11az</t>
        </is>
      </c>
      <c r="AT14" s="61" t="inlineStr">
        <is>
          <t>Outdoor; IP67; external antenna</t>
        </is>
      </c>
    </row>
    <row r="15" ht="104" customHeight="1">
      <c r="A15" s="32" t="n">
        <v>10</v>
      </c>
      <c r="B15" s="33" t="inlineStr">
        <is>
          <t>Wi-Fi 6E</t>
        </is>
      </c>
      <c r="C15" s="33" t="inlineStr">
        <is>
          <t>Indoor</t>
        </is>
      </c>
      <c r="D15" s="33" t="inlineStr">
        <is>
          <t>C-360</t>
        </is>
      </c>
      <c r="E15" s="33" t="inlineStr">
        <is>
          <t>AP-C360</t>
        </is>
      </c>
      <c r="F15" s="33" t="inlineStr">
        <is>
          <t>내장 Omni</t>
        </is>
      </c>
      <c r="G15" s="33" t="inlineStr">
        <is>
          <t>-</t>
        </is>
      </c>
      <c r="H15" s="33" t="inlineStr">
        <is>
          <t>4x4 (2.4/5/6GHz)</t>
        </is>
      </c>
      <c r="I15" s="33" t="inlineStr">
        <is>
          <t>4.8 / 4.8 / 1.2 Gbps</t>
        </is>
      </c>
      <c r="J15" s="33" t="inlineStr">
        <is>
          <t>Tri-band 4x4:4</t>
        </is>
      </c>
      <c r="K15" s="33" t="inlineStr">
        <is>
          <t>전용 MFR + BLE/ZigBee</t>
        </is>
      </c>
      <c r="L15" s="33" t="inlineStr">
        <is>
          <t>2x10GbE</t>
        </is>
      </c>
      <c r="M15" s="33" t="inlineStr">
        <is>
          <t>PoE++; PoE+ reduced; DC</t>
        </is>
      </c>
      <c r="N15" s="33" t="inlineStr">
        <is>
          <t>천장/벽</t>
        </is>
      </c>
      <c r="O15" s="33" t="inlineStr">
        <is>
          <t>초고밀도, deterministic performance</t>
        </is>
      </c>
      <c r="P15" s="33" t="inlineStr">
        <is>
          <t>해당 없음(내장 안테나)</t>
        </is>
      </c>
      <c r="Q15" s="33" t="inlineStr">
        <is>
          <t>MNT-AP-24MM 기본; 기타 C-series mounting kit 호환</t>
        </is>
      </c>
      <c r="R15" s="33" t="inlineStr">
        <is>
          <t>2026-06 공식 AP 비교표 등재</t>
        </is>
      </c>
      <c r="S15" s="34" t="inlineStr">
        <is>
          <t>https://www.arista.com/en/products/wifi6e-series</t>
        </is>
      </c>
      <c r="T15" s="34" t="inlineStr">
        <is>
          <t>https://www.arista.com/assets/data/pdf/Datasheets/Arista-C-360-Datasheet.pdf</t>
        </is>
      </c>
      <c r="U15" s="33" t="inlineStr"/>
      <c r="V15" s="55" t="inlineStr">
        <is>
          <t>IEEE 802.11ax (Wi-Fi 6E)</t>
        </is>
      </c>
      <c r="W15" s="55" t="inlineStr">
        <is>
          <t>2.4 / 5 / 6 GHz</t>
        </is>
      </c>
      <c r="X15" s="55" t="inlineStr">
        <is>
          <t>3× 4x4:4 access + dedicated tri-band 2x2 MFR + BLE/ZigBee</t>
        </is>
      </c>
      <c r="Y15" s="56" t="inlineStr">
        <is>
          <t>1,280 (band-dependent)</t>
        </is>
      </c>
      <c r="Z15" s="55" t="inlineStr">
        <is>
          <t>DL/UL MU-MIMO, up to 4x4</t>
        </is>
      </c>
      <c r="AA15" s="55" t="inlineStr">
        <is>
          <t>4 per access radio; 2 MFR</t>
        </is>
      </c>
      <c r="AB15" s="55" t="inlineStr">
        <is>
          <t>28.6 dBm (2.4); 27 dBm (5); 28.1 dBm (6)</t>
        </is>
      </c>
      <c r="AC15" s="55" t="inlineStr">
        <is>
          <t>40 / 160 / 160 MHz (2.4 / 5 / 6)</t>
        </is>
      </c>
      <c r="AD15" s="55" t="inlineStr">
        <is>
          <t>1.2 / 4.8 / 4.8 Gbps (2.4 / 5 / 6)</t>
        </is>
      </c>
      <c r="AE15" s="55" t="inlineStr">
        <is>
          <t>Dedicated tri-band 2x2 MFR; WIPS/spectrum</t>
        </is>
      </c>
      <c r="AF15" s="55" t="inlineStr">
        <is>
          <t>2x10GbE RJ45</t>
        </is>
      </c>
      <c r="AG15" s="55" t="inlineStr">
        <is>
          <t>802.3bt PoE++ or DC; PoE+ reduced mode</t>
        </is>
      </c>
      <c r="AH15" s="55" t="inlineStr">
        <is>
          <t>39 W</t>
        </is>
      </c>
      <c r="AI15" s="56" t="inlineStr">
        <is>
          <t>미기재(공식 데이터시트)</t>
        </is>
      </c>
      <c r="AJ15" s="55" t="inlineStr">
        <is>
          <t>2 GB (1 GB ×2)</t>
        </is>
      </c>
      <c r="AK15" s="55" t="inlineStr">
        <is>
          <t>1 GB</t>
        </is>
      </c>
      <c r="AL15" s="55" t="inlineStr">
        <is>
          <t>230 × 230 × 42.5 mm</t>
        </is>
      </c>
      <c r="AM15" s="55" t="inlineStr">
        <is>
          <t>1.45 kg</t>
        </is>
      </c>
      <c r="AN15" s="55" t="inlineStr">
        <is>
          <t>0 to 45°C</t>
        </is>
      </c>
      <c r="AO15" s="55" t="inlineStr">
        <is>
          <t>-40 to 70°C</t>
        </is>
      </c>
      <c r="AP15" s="55" t="inlineStr">
        <is>
          <t>0–95% non-condensing</t>
        </is>
      </c>
      <c r="AQ15" s="55" t="inlineStr">
        <is>
          <t>201,653 h @25°C; 83,308 h @45°C</t>
        </is>
      </c>
      <c r="AR15" s="55" t="inlineStr">
        <is>
          <t>Kensington lock slot</t>
        </is>
      </c>
      <c r="AS15" s="55" t="inlineStr">
        <is>
          <t>BLE and ZigBee IoT radio</t>
        </is>
      </c>
      <c r="AT15" s="55" t="inlineStr">
        <is>
          <t>Indoor</t>
        </is>
      </c>
    </row>
    <row r="16" ht="104" customHeight="1">
      <c r="A16" s="17" t="n">
        <v>11</v>
      </c>
      <c r="B16" s="19" t="inlineStr">
        <is>
          <t>Wi-Fi 6E</t>
        </is>
      </c>
      <c r="C16" s="19" t="inlineStr">
        <is>
          <t>Indoor</t>
        </is>
      </c>
      <c r="D16" s="19" t="inlineStr">
        <is>
          <t>C-330</t>
        </is>
      </c>
      <c r="E16" s="19" t="inlineStr">
        <is>
          <t>AP-C330</t>
        </is>
      </c>
      <c r="F16" s="19" t="inlineStr">
        <is>
          <t>내장 Omni</t>
        </is>
      </c>
      <c r="G16" s="19" t="inlineStr">
        <is>
          <t>-</t>
        </is>
      </c>
      <c r="H16" s="19" t="inlineStr">
        <is>
          <t>2x2 (2.4/5/6GHz)</t>
        </is>
      </c>
      <c r="I16" s="19" t="inlineStr">
        <is>
          <t>2.4 / 1.2 / 0.6 Gbps</t>
        </is>
      </c>
      <c r="J16" s="19" t="inlineStr">
        <is>
          <t>Tri-band 2x2:2</t>
        </is>
      </c>
      <c r="K16" s="19" t="inlineStr">
        <is>
          <t>전용 MFR + BLE/ZigBee</t>
        </is>
      </c>
      <c r="L16" s="19" t="inlineStr">
        <is>
          <t>2x2.5GbE</t>
        </is>
      </c>
      <c r="M16" s="19" t="inlineStr">
        <is>
          <t>PoE+; DC</t>
        </is>
      </c>
      <c r="N16" s="19" t="inlineStr">
        <is>
          <t>천장/벽</t>
        </is>
      </c>
      <c r="O16" s="19" t="inlineStr">
        <is>
          <t>고밀도 enterprise/campus</t>
        </is>
      </c>
      <c r="P16" s="19" t="inlineStr">
        <is>
          <t>해당 없음(내장 안테나)</t>
        </is>
      </c>
      <c r="Q16" s="19" t="inlineStr">
        <is>
          <t>MNT-AP-24MM 기본; 기타 C-series mounting kit 호환</t>
        </is>
      </c>
      <c r="R16" s="19" t="inlineStr">
        <is>
          <t>2026-06 공식 AP 비교표 등재</t>
        </is>
      </c>
      <c r="S16" s="21" t="inlineStr">
        <is>
          <t>https://www.arista.com/en/products/wifi6e-series</t>
        </is>
      </c>
      <c r="T16" s="21" t="inlineStr">
        <is>
          <t>https://www.arista.com/assets/data/pdf/Datasheets/Arista-C-330-Datasheet.pdf</t>
        </is>
      </c>
      <c r="U16" s="19" t="inlineStr"/>
      <c r="V16" s="51" t="inlineStr">
        <is>
          <t>IEEE 802.11ax (Wi-Fi 6E)</t>
        </is>
      </c>
      <c r="W16" s="51" t="inlineStr">
        <is>
          <t>2.4 / 5 / 6 GHz</t>
        </is>
      </c>
      <c r="X16" s="51" t="inlineStr">
        <is>
          <t>3× 2x2:2 access + dedicated tri-band 2x2 MFR + BLE</t>
        </is>
      </c>
      <c r="Y16" s="51" t="inlineStr">
        <is>
          <t>1,280</t>
        </is>
      </c>
      <c r="Z16" s="51" t="inlineStr">
        <is>
          <t>DL/UL MU-MIMO, 2x2</t>
        </is>
      </c>
      <c r="AA16" s="51" t="inlineStr">
        <is>
          <t>2 per access radio; 2 MFR</t>
        </is>
      </c>
      <c r="AB16" s="51" t="inlineStr">
        <is>
          <t>25.6 dBm (2.4); 27.8 dBm (5); 26.5 dBm (6)</t>
        </is>
      </c>
      <c r="AC16" s="51" t="inlineStr">
        <is>
          <t>40 / 160 / 160 MHz (2.4 / 5 / 6)</t>
        </is>
      </c>
      <c r="AD16" s="51" t="inlineStr">
        <is>
          <t>0.6 / 1.2 / 2.4 Gbps (2.4 / 5 / 6)</t>
        </is>
      </c>
      <c r="AE16" s="51" t="inlineStr">
        <is>
          <t>Dedicated tri-band 2x2 MFR; WIPS/spectrum</t>
        </is>
      </c>
      <c r="AF16" s="51" t="inlineStr">
        <is>
          <t>2x2.5GbE RJ45</t>
        </is>
      </c>
      <c r="AG16" s="51" t="inlineStr">
        <is>
          <t>802.3at PoE+ or 12VDC; hitless power failover</t>
        </is>
      </c>
      <c r="AH16" s="51" t="inlineStr">
        <is>
          <t>24.35 W</t>
        </is>
      </c>
      <c r="AI16" s="52" t="inlineStr">
        <is>
          <t>미기재(공식 데이터시트)</t>
        </is>
      </c>
      <c r="AJ16" s="51" t="inlineStr">
        <is>
          <t>1 GB</t>
        </is>
      </c>
      <c r="AK16" s="51" t="inlineStr">
        <is>
          <t>32 MB SPI + 8 GB eMMC</t>
        </is>
      </c>
      <c r="AL16" s="51" t="inlineStr">
        <is>
          <t>225 × 225 × 45 mm</t>
        </is>
      </c>
      <c r="AM16" s="51" t="inlineStr">
        <is>
          <t>1.24 kg</t>
        </is>
      </c>
      <c r="AN16" s="51" t="inlineStr">
        <is>
          <t>0 to 45°C</t>
        </is>
      </c>
      <c r="AO16" s="51" t="inlineStr">
        <is>
          <t>-40 to 70°C</t>
        </is>
      </c>
      <c r="AP16" s="51" t="inlineStr">
        <is>
          <t>5–95% non-condensing</t>
        </is>
      </c>
      <c r="AQ16" s="51" t="inlineStr">
        <is>
          <t>1,799,429 h @25°C; 821,200 h @45°C</t>
        </is>
      </c>
      <c r="AR16" s="51" t="inlineStr">
        <is>
          <t>Kensington lock slot</t>
        </is>
      </c>
      <c r="AS16" s="51" t="inlineStr">
        <is>
          <t>BLE IoT radio</t>
        </is>
      </c>
      <c r="AT16" s="51" t="inlineStr">
        <is>
          <t>Indoor</t>
        </is>
      </c>
    </row>
    <row r="17" ht="104" customHeight="1">
      <c r="A17" s="22" t="n">
        <v>12</v>
      </c>
      <c r="B17" s="23" t="inlineStr">
        <is>
          <t>Wi-Fi 6E</t>
        </is>
      </c>
      <c r="C17" s="23" t="inlineStr">
        <is>
          <t>Indoor</t>
        </is>
      </c>
      <c r="D17" s="23" t="inlineStr">
        <is>
          <t>W-318</t>
        </is>
      </c>
      <c r="E17" s="23" t="inlineStr">
        <is>
          <t>AP-W318</t>
        </is>
      </c>
      <c r="F17" s="23" t="inlineStr">
        <is>
          <t>내장 Omni</t>
        </is>
      </c>
      <c r="G17" s="23" t="inlineStr">
        <is>
          <t>-</t>
        </is>
      </c>
      <c r="H17" s="23" t="inlineStr">
        <is>
          <t>2x2 (2.4/5/6GHz)</t>
        </is>
      </c>
      <c r="I17" s="23" t="inlineStr">
        <is>
          <t>2.4 / 1.2 / 0.6 Gbps</t>
        </is>
      </c>
      <c r="J17" s="23" t="inlineStr">
        <is>
          <t>Tri-band 2x2:2</t>
        </is>
      </c>
      <c r="K17" s="23" t="inlineStr">
        <is>
          <t>전용 MFR 없음; background scan/WIPS</t>
        </is>
      </c>
      <c r="L17" s="23" t="inlineStr">
        <is>
          <t>1x2.5GbE + 3x1GbE</t>
        </is>
      </c>
      <c r="M17" s="23" t="inlineStr">
        <is>
          <t>PoE++; PoE+ reduced; DC</t>
        </is>
      </c>
      <c r="N17" s="23" t="inlineStr">
        <is>
          <t>벽면 plate/desktop</t>
        </is>
      </c>
      <c r="O17" s="23" t="inlineStr">
        <is>
          <t>호텔/기숙사/소형 사무실, medium density</t>
        </is>
      </c>
      <c r="P17" s="23" t="inlineStr">
        <is>
          <t>해당 없음(내장 안테나)</t>
        </is>
      </c>
      <c r="Q17" s="23" t="inlineStr">
        <is>
          <t>전용 wall-plate 또는 desktop bracket</t>
        </is>
      </c>
      <c r="R17" s="23" t="inlineStr">
        <is>
          <t>2026-06 공식 AP 비교표 등재</t>
        </is>
      </c>
      <c r="S17" s="24" t="inlineStr">
        <is>
          <t>https://www.arista.com/en/products/wifi6e-series</t>
        </is>
      </c>
      <c r="T17" s="24" t="inlineStr">
        <is>
          <t>https://www.arista.com/assets/data/pdf/Datasheets/Arista-W-318-Datasheet.pdf</t>
        </is>
      </c>
      <c r="U17" s="23" t="inlineStr"/>
      <c r="V17" s="53" t="inlineStr">
        <is>
          <t>IEEE 802.11ax (Wi-Fi 6E)</t>
        </is>
      </c>
      <c r="W17" s="53" t="inlineStr">
        <is>
          <t>2.4 / 5 / 6 GHz</t>
        </is>
      </c>
      <c r="X17" s="53" t="inlineStr">
        <is>
          <t>3× 2x2:2 access + BLE; no dedicated MFR</t>
        </is>
      </c>
      <c r="Y17" s="53" t="inlineStr">
        <is>
          <t>1,280</t>
        </is>
      </c>
      <c r="Z17" s="53" t="inlineStr">
        <is>
          <t>DL/UL MU-MIMO, 2x2</t>
        </is>
      </c>
      <c r="AA17" s="53" t="inlineStr">
        <is>
          <t>2 per access radio</t>
        </is>
      </c>
      <c r="AB17" s="53" t="inlineStr">
        <is>
          <t>25.3 dBm (2.4); 24.4 dBm (5); 26.1 dBm (6)</t>
        </is>
      </c>
      <c r="AC17" s="53" t="inlineStr">
        <is>
          <t>40 / 160 / 160 MHz (2.4 / 5 / 6)</t>
        </is>
      </c>
      <c r="AD17" s="53" t="inlineStr">
        <is>
          <t>0.6 / 1.2 / 2.4 Gbps (2.4 / 5 / 6)</t>
        </is>
      </c>
      <c r="AE17" s="53" t="inlineStr">
        <is>
          <t>Background scan / WIPS using access radios</t>
        </is>
      </c>
      <c r="AF17" s="53" t="inlineStr">
        <is>
          <t>2.5GbE uplink; 2.5GbE PSE LAN1; 2x1GbE LAN; pass-through; USB</t>
        </is>
      </c>
      <c r="AG17" s="53" t="inlineStr">
        <is>
          <t>PoE++ full; PoE+ reduced (PSE/USB off); 12VDC/2A</t>
        </is>
      </c>
      <c r="AH17" s="53" t="inlineStr">
        <is>
          <t>39 W</t>
        </is>
      </c>
      <c r="AI17" s="52" t="inlineStr">
        <is>
          <t>미기재(공식 데이터시트)</t>
        </is>
      </c>
      <c r="AJ17" s="53" t="inlineStr">
        <is>
          <t>2 GB</t>
        </is>
      </c>
      <c r="AK17" s="53" t="inlineStr">
        <is>
          <t>1 GB</t>
        </is>
      </c>
      <c r="AL17" s="53" t="inlineStr">
        <is>
          <t>190.7 × 133 × 32 mm</t>
        </is>
      </c>
      <c r="AM17" s="53" t="inlineStr">
        <is>
          <t>0.54 kg</t>
        </is>
      </c>
      <c r="AN17" s="53" t="inlineStr">
        <is>
          <t>0 to 45°C</t>
        </is>
      </c>
      <c r="AO17" s="53" t="inlineStr">
        <is>
          <t>-40 to 70°C</t>
        </is>
      </c>
      <c r="AP17" s="53" t="inlineStr">
        <is>
          <t>0–95% non-condensing</t>
        </is>
      </c>
      <c r="AQ17" s="53" t="inlineStr">
        <is>
          <t>419,223 h @25°C; 233,930 h @45°C</t>
        </is>
      </c>
      <c r="AR17" s="53" t="inlineStr">
        <is>
          <t>Kensington lock slot</t>
        </is>
      </c>
      <c r="AS17" s="53" t="inlineStr">
        <is>
          <t>BLE IoT/location</t>
        </is>
      </c>
      <c r="AT17" s="53" t="inlineStr">
        <is>
          <t>Indoor; wall-plate/desktop</t>
        </is>
      </c>
    </row>
    <row r="18" ht="104" customHeight="1">
      <c r="A18" s="25" t="n">
        <v>13</v>
      </c>
      <c r="B18" s="27" t="inlineStr">
        <is>
          <t>Wi-Fi 6</t>
        </is>
      </c>
      <c r="C18" s="27" t="inlineStr">
        <is>
          <t>Indoor</t>
        </is>
      </c>
      <c r="D18" s="27" t="inlineStr">
        <is>
          <t>C-260</t>
        </is>
      </c>
      <c r="E18" s="27" t="inlineStr">
        <is>
          <t>AP-C260</t>
        </is>
      </c>
      <c r="F18" s="27" t="inlineStr">
        <is>
          <t>내장 Omni</t>
        </is>
      </c>
      <c r="G18" s="27" t="inlineStr">
        <is>
          <t>-</t>
        </is>
      </c>
      <c r="H18" s="27" t="inlineStr">
        <is>
          <t>8x8:8 (5GHz) / 4x4:4 (2.4GHz)</t>
        </is>
      </c>
      <c r="I18" s="27" t="inlineStr">
        <is>
          <t>4.8 / 1.2 Gbps (공식 비교표)</t>
        </is>
      </c>
      <c r="J18" s="27" t="inlineStr">
        <is>
          <t>Dual-band high-stream</t>
        </is>
      </c>
      <c r="K18" s="27" t="inlineStr">
        <is>
          <t>전용 2x2 dual-band MFR</t>
        </is>
      </c>
      <c r="L18" s="27" t="inlineStr">
        <is>
          <t>2x5GbE</t>
        </is>
      </c>
      <c r="M18" s="27" t="inlineStr">
        <is>
          <t>PoE++; PoE+ reduced; DC</t>
        </is>
      </c>
      <c r="N18" s="27" t="inlineStr">
        <is>
          <t>천장/벽</t>
        </is>
      </c>
      <c r="O18" s="27" t="inlineStr">
        <is>
          <t>초고밀도 Wi-Fi 6</t>
        </is>
      </c>
      <c r="P18" s="27" t="inlineStr">
        <is>
          <t>해당 없음(내장 안테나)</t>
        </is>
      </c>
      <c r="Q18" s="27" t="inlineStr">
        <is>
          <t>MNT-AP-24MM 기본; 기타 C-series mounting kit 호환</t>
        </is>
      </c>
      <c r="R18" s="27" t="inlineStr">
        <is>
          <t>2026-06 공식 AP 비교표 등재</t>
        </is>
      </c>
      <c r="S18" s="30" t="inlineStr">
        <is>
          <t>https://www.arista.com/en/products/wifi6-series</t>
        </is>
      </c>
      <c r="T18" s="30" t="inlineStr">
        <is>
          <t>https://www.arista.com/assets/data/pdf/Datasheets/Arista-C-260-Datasheet.pdf</t>
        </is>
      </c>
      <c r="U18" s="27" t="inlineStr">
        <is>
          <t>개별 PDF 일부 PHY rate 문구와 비교표 간 차이가 있어 최신 비교표 값을 우선 적용</t>
        </is>
      </c>
      <c r="V18" s="54" t="inlineStr">
        <is>
          <t>IEEE 802.11ax (Wi-Fi 6)</t>
        </is>
      </c>
      <c r="W18" s="54" t="inlineStr">
        <is>
          <t>2.4 / 5 GHz</t>
        </is>
      </c>
      <c r="X18" s="54" t="inlineStr">
        <is>
          <t>4x4:4 2.4GHz + 8x8:8 5GHz + dedicated 2x2 MFR + BLE</t>
        </is>
      </c>
      <c r="Y18" s="54" t="inlineStr">
        <is>
          <t>768</t>
        </is>
      </c>
      <c r="Z18" s="54" t="inlineStr">
        <is>
          <t>DL/UL MU-MIMO; 4x4 (2.4), 8x8 (5)</t>
        </is>
      </c>
      <c r="AA18" s="54" t="inlineStr">
        <is>
          <t>4 (2.4); 8 (5); 2 MFR</t>
        </is>
      </c>
      <c r="AB18" s="54" t="inlineStr">
        <is>
          <t>28.5 dBm (2.4); 32.5 dBm (5)</t>
        </is>
      </c>
      <c r="AC18" s="54" t="inlineStr">
        <is>
          <t>40 / 160 MHz (2.4 / 5)</t>
        </is>
      </c>
      <c r="AD18" s="54" t="inlineStr">
        <is>
          <t>1.2 / 4.8 Gbps (official comparison; PDF wording differs)</t>
        </is>
      </c>
      <c r="AE18" s="54" t="inlineStr">
        <is>
          <t>Dedicated dual-band 2x2 MFR; WIPS/spectrum</t>
        </is>
      </c>
      <c r="AF18" s="54" t="inlineStr">
        <is>
          <t>2x5GbE RJ45</t>
        </is>
      </c>
      <c r="AG18" s="54" t="inlineStr">
        <is>
          <t>802.3bt PoE++ or 12VDC; PoE+ reduced mode</t>
        </is>
      </c>
      <c r="AH18" s="54" t="inlineStr">
        <is>
          <t>35.2 W</t>
        </is>
      </c>
      <c r="AI18" s="54" t="inlineStr">
        <is>
          <t>Qualcomm IPQ8078 2.2GHz quad-core ARM; QCN5054/QCN5024/QCA9882</t>
        </is>
      </c>
      <c r="AJ18" s="54" t="inlineStr">
        <is>
          <t>1 GB</t>
        </is>
      </c>
      <c r="AK18" s="54" t="inlineStr">
        <is>
          <t>512 MB</t>
        </is>
      </c>
      <c r="AL18" s="54" t="inlineStr">
        <is>
          <t>230 × 230 × 45 mm</t>
        </is>
      </c>
      <c r="AM18" s="54" t="inlineStr">
        <is>
          <t>1.39 kg</t>
        </is>
      </c>
      <c r="AN18" s="54" t="inlineStr">
        <is>
          <t>0 to 40°C</t>
        </is>
      </c>
      <c r="AO18" s="54" t="inlineStr">
        <is>
          <t>-40 to 70°C</t>
        </is>
      </c>
      <c r="AP18" s="54" t="inlineStr">
        <is>
          <t>0–95% non-condensing</t>
        </is>
      </c>
      <c r="AQ18" s="54" t="inlineStr">
        <is>
          <t>333,286 h @25°C; 191,367 h @40°C</t>
        </is>
      </c>
      <c r="AR18" s="54" t="inlineStr">
        <is>
          <t>Kensington lock slot</t>
        </is>
      </c>
      <c r="AS18" s="54" t="inlineStr">
        <is>
          <t>BLE / ZigBee capable</t>
        </is>
      </c>
      <c r="AT18" s="54" t="inlineStr">
        <is>
          <t>Indoor</t>
        </is>
      </c>
    </row>
    <row r="19" ht="104" customHeight="1">
      <c r="A19" s="43" t="n">
        <v>14</v>
      </c>
      <c r="B19" s="44" t="inlineStr">
        <is>
          <t>Wi-Fi 6</t>
        </is>
      </c>
      <c r="C19" s="44" t="inlineStr">
        <is>
          <t>Indoor</t>
        </is>
      </c>
      <c r="D19" s="44" t="inlineStr">
        <is>
          <t>C-250</t>
        </is>
      </c>
      <c r="E19" s="44" t="inlineStr">
        <is>
          <t>AP-C250</t>
        </is>
      </c>
      <c r="F19" s="44" t="inlineStr">
        <is>
          <t>내장 Omni</t>
        </is>
      </c>
      <c r="G19" s="44" t="inlineStr">
        <is>
          <t>-</t>
        </is>
      </c>
      <c r="H19" s="44" t="inlineStr">
        <is>
          <t>8x8:8 (5GHz) / 4x4:4 (2.4GHz)</t>
        </is>
      </c>
      <c r="I19" s="44" t="inlineStr">
        <is>
          <t>4.8 / 1.2 Gbps (비교표 그룹)</t>
        </is>
      </c>
      <c r="J19" s="44" t="inlineStr">
        <is>
          <t>Dual-band high-stream</t>
        </is>
      </c>
      <c r="K19" s="44" t="inlineStr">
        <is>
          <t>전용 2x2 dual-band MFR</t>
        </is>
      </c>
      <c r="L19" s="44" t="inlineStr">
        <is>
          <t>2x2.5GbE</t>
        </is>
      </c>
      <c r="M19" s="44" t="inlineStr">
        <is>
          <t>PoE++; PoE+ reduced; DC</t>
        </is>
      </c>
      <c r="N19" s="44" t="inlineStr">
        <is>
          <t>천장/벽</t>
        </is>
      </c>
      <c r="O19" s="44" t="inlineStr">
        <is>
          <t>초고밀도 Wi-Fi 6</t>
        </is>
      </c>
      <c r="P19" s="44" t="inlineStr">
        <is>
          <t>해당 없음(내장 안테나)</t>
        </is>
      </c>
      <c r="Q19" s="44" t="inlineStr">
        <is>
          <t>MNT-AP-24MM 기본; 기타 C-series mounting kit 호환</t>
        </is>
      </c>
      <c r="R19" s="44" t="inlineStr">
        <is>
          <t>공식 데이터시트 유지; 2026 비교표 C-250/C-260 그룹 표기</t>
        </is>
      </c>
      <c r="S19" s="45" t="inlineStr">
        <is>
          <t>https://www.arista.com/en/products/wifi6-series</t>
        </is>
      </c>
      <c r="T19" s="45" t="inlineStr">
        <is>
          <t>https://www.arista.com/assets/data/pdf/Datasheets/Arista-C-250-Datasheet.pdf</t>
        </is>
      </c>
      <c r="U19" s="40" t="inlineStr">
        <is>
          <t>개별 PDF의 Key Specifications와 본문 사이 MIMO 표기가 상충하므로 비교표/ordering 정보와 BOM을 재확인</t>
        </is>
      </c>
      <c r="V19" s="61" t="inlineStr">
        <is>
          <t>IEEE 802.11ax (Wi-Fi 6)</t>
        </is>
      </c>
      <c r="W19" s="61" t="inlineStr">
        <is>
          <t>2.4 / 5 GHz</t>
        </is>
      </c>
      <c r="X19" s="61" t="inlineStr">
        <is>
          <t>4x4:4 2.4GHz + 8x8:8 5GHz + dedicated 2x2 MFR + BLE</t>
        </is>
      </c>
      <c r="Y19" s="61" t="inlineStr">
        <is>
          <t>768</t>
        </is>
      </c>
      <c r="Z19" s="52" t="inlineStr">
        <is>
          <t>DL/UL MU-MIMO; 4x4 (2.4), 8x8 (5); PDF internal table conflict noted</t>
        </is>
      </c>
      <c r="AA19" s="61" t="inlineStr">
        <is>
          <t>4 (2.4); 8 (5); 2 MFR</t>
        </is>
      </c>
      <c r="AB19" s="61" t="inlineStr">
        <is>
          <t>28.5 dBm (2.4); 32.5 dBm (5)</t>
        </is>
      </c>
      <c r="AC19" s="61" t="inlineStr">
        <is>
          <t>40 / 160 MHz (2.4 / 5)</t>
        </is>
      </c>
      <c r="AD19" s="61" t="inlineStr">
        <is>
          <t>1.2 / 4.8 Gbps (official comparison; PDF wording differs)</t>
        </is>
      </c>
      <c r="AE19" s="61" t="inlineStr">
        <is>
          <t>Dedicated dual-band 2x2 MFR; WIPS/spectrum</t>
        </is>
      </c>
      <c r="AF19" s="61" t="inlineStr">
        <is>
          <t>2x2.5GbE RJ45</t>
        </is>
      </c>
      <c r="AG19" s="61" t="inlineStr">
        <is>
          <t>802.3bt PoE++ or 12VDC/3.3A; PoE+ reduced mode</t>
        </is>
      </c>
      <c r="AH19" s="61" t="inlineStr">
        <is>
          <t>34.4 W</t>
        </is>
      </c>
      <c r="AI19" s="61" t="inlineStr">
        <is>
          <t>Qualcomm IPQ8078 2.2GHz quad-core ARM; QCN5054/QCN5024/QCA9882</t>
        </is>
      </c>
      <c r="AJ19" s="61" t="inlineStr">
        <is>
          <t>1 GB</t>
        </is>
      </c>
      <c r="AK19" s="61" t="inlineStr">
        <is>
          <t>512 MB</t>
        </is>
      </c>
      <c r="AL19" s="61" t="inlineStr">
        <is>
          <t>230 × 230 × 45 mm</t>
        </is>
      </c>
      <c r="AM19" s="61" t="inlineStr">
        <is>
          <t>1.39 kg</t>
        </is>
      </c>
      <c r="AN19" s="61" t="inlineStr">
        <is>
          <t>0 to 40°C</t>
        </is>
      </c>
      <c r="AO19" s="61" t="inlineStr">
        <is>
          <t>-40 to 70°C</t>
        </is>
      </c>
      <c r="AP19" s="61" t="inlineStr">
        <is>
          <t>0–95% non-condensing</t>
        </is>
      </c>
      <c r="AQ19" s="61" t="inlineStr">
        <is>
          <t>333,286 h @25°C; 191,367 h @40°C</t>
        </is>
      </c>
      <c r="AR19" s="61" t="inlineStr">
        <is>
          <t>Kensington lock slot</t>
        </is>
      </c>
      <c r="AS19" s="61" t="inlineStr">
        <is>
          <t>BLE / ZigBee capable</t>
        </is>
      </c>
      <c r="AT19" s="61" t="inlineStr">
        <is>
          <t>Indoor</t>
        </is>
      </c>
    </row>
    <row r="20" ht="104" customHeight="1">
      <c r="A20" s="17" t="n">
        <v>15</v>
      </c>
      <c r="B20" s="19" t="inlineStr">
        <is>
          <t>Wi-Fi 6</t>
        </is>
      </c>
      <c r="C20" s="19" t="inlineStr">
        <is>
          <t>Indoor</t>
        </is>
      </c>
      <c r="D20" s="19" t="inlineStr">
        <is>
          <t>C-230</t>
        </is>
      </c>
      <c r="E20" s="19" t="inlineStr">
        <is>
          <t>AP-C230</t>
        </is>
      </c>
      <c r="F20" s="19" t="inlineStr">
        <is>
          <t>내장 Omni</t>
        </is>
      </c>
      <c r="G20" s="19" t="inlineStr">
        <is>
          <t>-</t>
        </is>
      </c>
      <c r="H20" s="19" t="inlineStr">
        <is>
          <t>4x4:4 (5GHz) / 2x2:2 (2.4GHz)</t>
        </is>
      </c>
      <c r="I20" s="19" t="inlineStr">
        <is>
          <t>2.4 / 0.574 Gbps</t>
        </is>
      </c>
      <c r="J20" s="19" t="inlineStr">
        <is>
          <t>Dual-band</t>
        </is>
      </c>
      <c r="K20" s="19" t="inlineStr">
        <is>
          <t>전용 dual-band MFR</t>
        </is>
      </c>
      <c r="L20" s="19" t="inlineStr">
        <is>
          <t>1x5GbE + 1x1GbE</t>
        </is>
      </c>
      <c r="M20" s="19" t="inlineStr">
        <is>
          <t>PoE+; PoE reduced; DC</t>
        </is>
      </c>
      <c r="N20" s="19" t="inlineStr">
        <is>
          <t>천장/벽</t>
        </is>
      </c>
      <c r="O20" s="19" t="inlineStr">
        <is>
          <t>고밀도 enterprise/campus</t>
        </is>
      </c>
      <c r="P20" s="19" t="inlineStr">
        <is>
          <t>해당 없음(내장 안테나)</t>
        </is>
      </c>
      <c r="Q20" s="19" t="inlineStr">
        <is>
          <t>MNT-AP-24MM 기본; 기타 C-series mounting kit 호환</t>
        </is>
      </c>
      <c r="R20" s="19" t="inlineStr">
        <is>
          <t>2026-06 공식 AP 비교표 등재</t>
        </is>
      </c>
      <c r="S20" s="21" t="inlineStr">
        <is>
          <t>https://www.arista.com/en/products/wifi6-series</t>
        </is>
      </c>
      <c r="T20" s="21" t="inlineStr">
        <is>
          <t>https://www.arista.com/assets/data/pdf/Datasheets/Arista-C-230-Datasheet.pdf</t>
        </is>
      </c>
      <c r="U20" s="19" t="inlineStr"/>
      <c r="V20" s="51" t="inlineStr">
        <is>
          <t>IEEE 802.11ax (Wi-Fi 6)</t>
        </is>
      </c>
      <c r="W20" s="51" t="inlineStr">
        <is>
          <t>2.4 / 5 GHz</t>
        </is>
      </c>
      <c r="X20" s="51" t="inlineStr">
        <is>
          <t>2x2:2 2.4GHz + 4x4:4 5GHz + dedicated dual-band 2x2 MFR</t>
        </is>
      </c>
      <c r="Y20" s="51" t="inlineStr">
        <is>
          <t>768</t>
        </is>
      </c>
      <c r="Z20" s="51" t="inlineStr">
        <is>
          <t>DL/UL MU-MIMO; 2x2 (2.4), 4x4 (5)</t>
        </is>
      </c>
      <c r="AA20" s="51" t="inlineStr">
        <is>
          <t>2 (2.4); 4 (5); 2 MFR</t>
        </is>
      </c>
      <c r="AB20" s="51" t="inlineStr">
        <is>
          <t>31 dBm (2.4); 35 dBm (5)</t>
        </is>
      </c>
      <c r="AC20" s="51" t="inlineStr">
        <is>
          <t>40 / 160 MHz (2.4 / 5)</t>
        </is>
      </c>
      <c r="AD20" s="51" t="inlineStr">
        <is>
          <t>0.574 / 2.4 Gbps (2.4 / 5)</t>
        </is>
      </c>
      <c r="AE20" s="51" t="inlineStr">
        <is>
          <t>Dedicated dual-band 2x2 MFR; WIPS/spectrum</t>
        </is>
      </c>
      <c r="AF20" s="51" t="inlineStr">
        <is>
          <t>1x5GbE + 1x1GbE RJ45</t>
        </is>
      </c>
      <c r="AG20" s="51" t="inlineStr">
        <is>
          <t>802.3at PoE+ or 12VDC; 802.3af reduced mode</t>
        </is>
      </c>
      <c r="AH20" s="51" t="inlineStr">
        <is>
          <t>26 W</t>
        </is>
      </c>
      <c r="AI20" s="51" t="inlineStr">
        <is>
          <t>Qualcomm IPQ8071A 1GHz quad-core ARM; QCN5154/QCN5124/QCA9882</t>
        </is>
      </c>
      <c r="AJ20" s="51" t="inlineStr">
        <is>
          <t>1 GB</t>
        </is>
      </c>
      <c r="AK20" s="51" t="inlineStr">
        <is>
          <t>512 MB</t>
        </is>
      </c>
      <c r="AL20" s="51" t="inlineStr">
        <is>
          <t>205 × 205 × 45.8 mm</t>
        </is>
      </c>
      <c r="AM20" s="51" t="inlineStr">
        <is>
          <t>1.0 kg</t>
        </is>
      </c>
      <c r="AN20" s="51" t="inlineStr">
        <is>
          <t>0 to 40°C</t>
        </is>
      </c>
      <c r="AO20" s="51" t="inlineStr">
        <is>
          <t>-25 to 70°C</t>
        </is>
      </c>
      <c r="AP20" s="51" t="inlineStr">
        <is>
          <t>0–95% non-condensing</t>
        </is>
      </c>
      <c r="AQ20" s="51" t="inlineStr">
        <is>
          <t>641,425 h @25°C; 343,175 h @40°C</t>
        </is>
      </c>
      <c r="AR20" s="51" t="inlineStr">
        <is>
          <t>Kensington lock slot</t>
        </is>
      </c>
      <c r="AS20" s="51" t="inlineStr">
        <is>
          <t>BLE/location services</t>
        </is>
      </c>
      <c r="AT20" s="51" t="inlineStr">
        <is>
          <t>Indoor</t>
        </is>
      </c>
    </row>
    <row r="21" ht="104" customHeight="1">
      <c r="A21" s="22" t="n">
        <v>16</v>
      </c>
      <c r="B21" s="23" t="inlineStr">
        <is>
          <t>Wi-Fi 6</t>
        </is>
      </c>
      <c r="C21" s="23" t="inlineStr">
        <is>
          <t>Indoor</t>
        </is>
      </c>
      <c r="D21" s="23" t="inlineStr">
        <is>
          <t>C-230E</t>
        </is>
      </c>
      <c r="E21" s="23" t="inlineStr">
        <is>
          <t>AP-C230E</t>
        </is>
      </c>
      <c r="F21" s="23" t="inlineStr">
        <is>
          <t>외장 안테나</t>
        </is>
      </c>
      <c r="G21" s="23" t="inlineStr">
        <is>
          <t>6x RP-SMA</t>
        </is>
      </c>
      <c r="H21" s="23" t="inlineStr">
        <is>
          <t>4x4:4 (5GHz) / 2x2:2 (2.4GHz)</t>
        </is>
      </c>
      <c r="I21" s="23" t="inlineStr">
        <is>
          <t>2.4 / 0.574 Gbps</t>
        </is>
      </c>
      <c r="J21" s="23" t="inlineStr">
        <is>
          <t>Dual-band</t>
        </is>
      </c>
      <c r="K21" s="23" t="inlineStr">
        <is>
          <t>전용 dual-band MFR</t>
        </is>
      </c>
      <c r="L21" s="23" t="inlineStr">
        <is>
          <t>1x5GbE + 1x1GbE</t>
        </is>
      </c>
      <c r="M21" s="23" t="inlineStr">
        <is>
          <t>PoE+; PoE reduced; DC</t>
        </is>
      </c>
      <c r="N21" s="23" t="inlineStr">
        <is>
          <t>천장/벽</t>
        </is>
      </c>
      <c r="O21" s="23" t="inlineStr">
        <is>
          <t>고밀도, 외장 안테나 맞춤형 RF</t>
        </is>
      </c>
      <c r="P21" s="23" t="inlineStr">
        <is>
          <t>ATS-01060, ATS-03286, ATS-03287, ATS-03288, ATS-03289, ATS-03276, ATS-03285, 375087, 250940, 268438, 227737, 544625, 237129, 273329, ATS-OO-245-46-6RPSP-36, ATS-OP-245-8-6RPSP-36, ATS-OP-245-13-6RPSP-36, ATS-OP-245-7D-6RPSP-36, ATS-OP-245-7-6RPSP-36, ATS-OP-245-810-6RPSP-36-V2</t>
        </is>
      </c>
      <c r="Q21" s="23" t="inlineStr">
        <is>
          <t>MNT-AP-24MM 기본; 기타 C-series mounting kit 호환</t>
        </is>
      </c>
      <c r="R21" s="23" t="inlineStr">
        <is>
          <t>2026-06 공식 AP 비교표 등재</t>
        </is>
      </c>
      <c r="S21" s="24" t="inlineStr">
        <is>
          <t>https://www.arista.com/en/products/wifi6-series</t>
        </is>
      </c>
      <c r="T21" s="24" t="inlineStr">
        <is>
          <t>https://www.arista.com/assets/data/pdf/Datasheets/Arista-C-230E-Datasheet.pdf</t>
        </is>
      </c>
      <c r="U21" s="23" t="inlineStr"/>
      <c r="V21" s="53" t="inlineStr">
        <is>
          <t>IEEE 802.11ax (Wi-Fi 6)</t>
        </is>
      </c>
      <c r="W21" s="53" t="inlineStr">
        <is>
          <t>2.4 / 5 GHz</t>
        </is>
      </c>
      <c r="X21" s="53" t="inlineStr">
        <is>
          <t>2x2:2 2.4GHz + 4x4:4 5GHz + dedicated 2x2 MFR; 6 RP-SMA</t>
        </is>
      </c>
      <c r="Y21" s="53" t="inlineStr">
        <is>
          <t>768</t>
        </is>
      </c>
      <c r="Z21" s="53" t="inlineStr">
        <is>
          <t>DL/UL MU-MIMO; 2x2 (2.4), 4x4 (5)</t>
        </is>
      </c>
      <c r="AA21" s="53" t="inlineStr">
        <is>
          <t>2 (2.4); 4 (5); 2 MFR</t>
        </is>
      </c>
      <c r="AB21" s="52" t="inlineStr">
        <is>
          <t>26 dBm (2.4); 29 dBm (5), antenna/regulatory dependent</t>
        </is>
      </c>
      <c r="AC21" s="53" t="inlineStr">
        <is>
          <t>40 / 160 MHz (2.4 / 5)</t>
        </is>
      </c>
      <c r="AD21" s="53" t="inlineStr">
        <is>
          <t>0.574 / 2.4 Gbps (2.4 / 5)</t>
        </is>
      </c>
      <c r="AE21" s="53" t="inlineStr">
        <is>
          <t>Dedicated dual-band 2x2 MFR; WIPS/spectrum</t>
        </is>
      </c>
      <c r="AF21" s="53" t="inlineStr">
        <is>
          <t>1x5GbE + 1x1GbE RJ45</t>
        </is>
      </c>
      <c r="AG21" s="53" t="inlineStr">
        <is>
          <t>802.3at PoE+ or 12VDC; 802.3af reduced mode</t>
        </is>
      </c>
      <c r="AH21" s="53" t="inlineStr">
        <is>
          <t>25.5 W</t>
        </is>
      </c>
      <c r="AI21" s="53" t="inlineStr">
        <is>
          <t>Qualcomm IPQ8071A 1GHz quad-core ARM; QCN5154/QCN5124/QCA9882</t>
        </is>
      </c>
      <c r="AJ21" s="53" t="inlineStr">
        <is>
          <t>1 GB</t>
        </is>
      </c>
      <c r="AK21" s="53" t="inlineStr">
        <is>
          <t>512 MB</t>
        </is>
      </c>
      <c r="AL21" s="53" t="inlineStr">
        <is>
          <t>219 × 205 × 45.8 mm</t>
        </is>
      </c>
      <c r="AM21" s="53" t="inlineStr">
        <is>
          <t>1.0 kg</t>
        </is>
      </c>
      <c r="AN21" s="53" t="inlineStr">
        <is>
          <t>0 to 40°C</t>
        </is>
      </c>
      <c r="AO21" s="53" t="inlineStr">
        <is>
          <t>-25 to 70°C</t>
        </is>
      </c>
      <c r="AP21" s="53" t="inlineStr">
        <is>
          <t>0–95% non-condensing</t>
        </is>
      </c>
      <c r="AQ21" s="53" t="inlineStr">
        <is>
          <t>641,425 h @25°C; 343,175 h @40°C</t>
        </is>
      </c>
      <c r="AR21" s="53" t="inlineStr">
        <is>
          <t>Kensington lock slot; TPM</t>
        </is>
      </c>
      <c r="AS21" s="53" t="inlineStr">
        <is>
          <t>BLE/location services</t>
        </is>
      </c>
      <c r="AT21" s="53" t="inlineStr">
        <is>
          <t>Indoor; external antenna</t>
        </is>
      </c>
    </row>
    <row r="22" ht="104" customHeight="1">
      <c r="A22" s="17" t="n">
        <v>17</v>
      </c>
      <c r="B22" s="19" t="inlineStr">
        <is>
          <t>Wi-Fi 6</t>
        </is>
      </c>
      <c r="C22" s="19" t="inlineStr">
        <is>
          <t>Outdoor</t>
        </is>
      </c>
      <c r="D22" s="19" t="inlineStr">
        <is>
          <t>O-235</t>
        </is>
      </c>
      <c r="E22" s="19" t="inlineStr">
        <is>
          <t>AP-O235</t>
        </is>
      </c>
      <c r="F22" s="19" t="inlineStr">
        <is>
          <t>내장 Omni</t>
        </is>
      </c>
      <c r="G22" s="19" t="inlineStr">
        <is>
          <t>-</t>
        </is>
      </c>
      <c r="H22" s="19" t="inlineStr">
        <is>
          <t>4x4:4 (5GHz) / 2x2:2 (2.4GHz)</t>
        </is>
      </c>
      <c r="I22" s="19" t="inlineStr">
        <is>
          <t>2.4 / 0.574 Gbps</t>
        </is>
      </c>
      <c r="J22" s="19" t="inlineStr">
        <is>
          <t>Dual-band</t>
        </is>
      </c>
      <c r="K22" s="19" t="inlineStr">
        <is>
          <t>전용 dual-band MFR</t>
        </is>
      </c>
      <c r="L22" s="19" t="inlineStr">
        <is>
          <t>1x5GbE + 1x1GbE</t>
        </is>
      </c>
      <c r="M22" s="19" t="inlineStr">
        <is>
          <t>PoE+; PoE reduced; DC</t>
        </is>
      </c>
      <c r="N22" s="19" t="inlineStr">
        <is>
          <t>폴/벽</t>
        </is>
      </c>
      <c r="O22" s="19" t="inlineStr">
        <is>
          <t>고밀도 outdoor, IP67</t>
        </is>
      </c>
      <c r="P22" s="19" t="inlineStr">
        <is>
          <t>해당 없음(내장 안테나)</t>
        </is>
      </c>
      <c r="Q22" s="19" t="inlineStr">
        <is>
          <t>Outdoor pole/wall mount 동봉</t>
        </is>
      </c>
      <c r="R22" s="19" t="inlineStr">
        <is>
          <t>2026-06 공식 AP 비교표 등재</t>
        </is>
      </c>
      <c r="S22" s="21" t="inlineStr">
        <is>
          <t>https://www.arista.com/en/products/wifi6-series</t>
        </is>
      </c>
      <c r="T22" s="21" t="inlineStr">
        <is>
          <t>https://www.arista.com/assets/data/pdf/Datasheets/Arista-O235-Datasheet.pdf</t>
        </is>
      </c>
      <c r="U22" s="19" t="inlineStr"/>
      <c r="V22" s="51" t="inlineStr">
        <is>
          <t>IEEE 802.11ax (Wi-Fi 6)</t>
        </is>
      </c>
      <c r="W22" s="51" t="inlineStr">
        <is>
          <t>2.4 / 5 GHz</t>
        </is>
      </c>
      <c r="X22" s="51" t="inlineStr">
        <is>
          <t>2x2:2 2.4GHz + 4x4:4 5GHz + dedicated 2x2 MFR + BLE</t>
        </is>
      </c>
      <c r="Y22" s="52" t="inlineStr">
        <is>
          <t>1,024 (datasheet table; use-case dependent)</t>
        </is>
      </c>
      <c r="Z22" s="51" t="inlineStr">
        <is>
          <t>DL/UL MU-MIMO; 2x2 (2.4), 4x4 (5)</t>
        </is>
      </c>
      <c r="AA22" s="51" t="inlineStr">
        <is>
          <t>2 (2.4); 4 (5); 2 MFR</t>
        </is>
      </c>
      <c r="AB22" s="51" t="inlineStr">
        <is>
          <t>31 dBm (2.4); 35 dBm (5)</t>
        </is>
      </c>
      <c r="AC22" s="51" t="inlineStr">
        <is>
          <t>40 / 160 MHz (2.4 / 5)</t>
        </is>
      </c>
      <c r="AD22" s="51" t="inlineStr">
        <is>
          <t>0.574 / 2.4 Gbps (2.4 / 5)</t>
        </is>
      </c>
      <c r="AE22" s="51" t="inlineStr">
        <is>
          <t>Dedicated dual-band 2x2 MFR; WIPS/spectrum</t>
        </is>
      </c>
      <c r="AF22" s="51" t="inlineStr">
        <is>
          <t>1x5GbE + 1x1GbE RJ45</t>
        </is>
      </c>
      <c r="AG22" s="51" t="inlineStr">
        <is>
          <t>802.3at PoE+ or DC; 802.3af reduced mode</t>
        </is>
      </c>
      <c r="AH22" s="51" t="inlineStr">
        <is>
          <t>27 W</t>
        </is>
      </c>
      <c r="AI22" s="51" t="inlineStr">
        <is>
          <t>Qualcomm IPQ8071A 1GHz quad-core ARM; QCN5154/QCN5124/QCA9882</t>
        </is>
      </c>
      <c r="AJ22" s="51" t="inlineStr">
        <is>
          <t>1 GB</t>
        </is>
      </c>
      <c r="AK22" s="51" t="inlineStr">
        <is>
          <t>512 MB</t>
        </is>
      </c>
      <c r="AL22" s="51" t="inlineStr">
        <is>
          <t>211.1 × 209.4 × 52.2 mm</t>
        </is>
      </c>
      <c r="AM22" s="51" t="inlineStr">
        <is>
          <t>1.2 kg</t>
        </is>
      </c>
      <c r="AN22" s="51" t="inlineStr">
        <is>
          <t>-20 to 65°C</t>
        </is>
      </c>
      <c r="AO22" s="51" t="inlineStr">
        <is>
          <t>-25 to 70°C</t>
        </is>
      </c>
      <c r="AP22" s="51" t="inlineStr">
        <is>
          <t>0–95% non-condensing</t>
        </is>
      </c>
      <c r="AQ22" s="51" t="inlineStr">
        <is>
          <t>290,461 h @25°C; 82,687 h @65°C</t>
        </is>
      </c>
      <c r="AR22" s="51" t="inlineStr">
        <is>
          <t>TPM</t>
        </is>
      </c>
      <c r="AS22" s="51" t="inlineStr">
        <is>
          <t>BLE/location services</t>
        </is>
      </c>
      <c r="AT22" s="51" t="inlineStr">
        <is>
          <t>Outdoor; IP67</t>
        </is>
      </c>
    </row>
    <row r="23" ht="104" customHeight="1">
      <c r="A23" s="22" t="n">
        <v>18</v>
      </c>
      <c r="B23" s="23" t="inlineStr">
        <is>
          <t>Wi-Fi 6</t>
        </is>
      </c>
      <c r="C23" s="23" t="inlineStr">
        <is>
          <t>Outdoor</t>
        </is>
      </c>
      <c r="D23" s="23" t="inlineStr">
        <is>
          <t>O-235E</t>
        </is>
      </c>
      <c r="E23" s="23" t="inlineStr">
        <is>
          <t>AP-O235E</t>
        </is>
      </c>
      <c r="F23" s="23" t="inlineStr">
        <is>
          <t>외장 안테나</t>
        </is>
      </c>
      <c r="G23" s="23" t="inlineStr">
        <is>
          <t>6x N-Type</t>
        </is>
      </c>
      <c r="H23" s="23" t="inlineStr">
        <is>
          <t>4x4:4 (5GHz) / 2x2:2 (2.4GHz)</t>
        </is>
      </c>
      <c r="I23" s="23" t="inlineStr">
        <is>
          <t>2.4 / 0.574 Gbps</t>
        </is>
      </c>
      <c r="J23" s="23" t="inlineStr">
        <is>
          <t>Dual-band</t>
        </is>
      </c>
      <c r="K23" s="23" t="inlineStr">
        <is>
          <t>전용 dual-band MFR</t>
        </is>
      </c>
      <c r="L23" s="23" t="inlineStr">
        <is>
          <t>1x5GbE + 1x1GbE</t>
        </is>
      </c>
      <c r="M23" s="23" t="inlineStr">
        <is>
          <t>PoE+; PoE reduced; DC</t>
        </is>
      </c>
      <c r="N23" s="23" t="inlineStr">
        <is>
          <t>폴/벽</t>
        </is>
      </c>
      <c r="O23" s="23" t="inlineStr">
        <is>
          <t>고밀도 outdoor, external antenna, IP67</t>
        </is>
      </c>
      <c r="P23" s="23" t="inlineStr">
        <is>
          <t>ATS-03278, ATS-03280, ATS-03281, ATS-03282, ATS-03283, ATS-03262, ATS-03279, ATS-03412, 607904, 298003, 523996, ATS-01050, ATS-01022, ATS-01091, ATS-02754, ATS-01112, ATS-03022, ATS-01126</t>
        </is>
      </c>
      <c r="Q23" s="23" t="inlineStr">
        <is>
          <t>Outdoor pole/wall mount 동봉</t>
        </is>
      </c>
      <c r="R23" s="23" t="inlineStr">
        <is>
          <t>2026-06 공식 AP 비교표 등재</t>
        </is>
      </c>
      <c r="S23" s="24" t="inlineStr">
        <is>
          <t>https://www.arista.com/en/products/wifi6-series</t>
        </is>
      </c>
      <c r="T23" s="24" t="inlineStr">
        <is>
          <t>https://www.arista.com/assets/data/pdf/Datasheets/Arista-O235E-Datasheet.pdf</t>
        </is>
      </c>
      <c r="U23" s="23" t="inlineStr"/>
      <c r="V23" s="53" t="inlineStr">
        <is>
          <t>IEEE 802.11ax (Wi-Fi 6)</t>
        </is>
      </c>
      <c r="W23" s="53" t="inlineStr">
        <is>
          <t>2.4 / 5 GHz</t>
        </is>
      </c>
      <c r="X23" s="53" t="inlineStr">
        <is>
          <t>2x2:2 2.4GHz + 4x4:4 5GHz + dedicated 2x2 MFR; 6 N-Type</t>
        </is>
      </c>
      <c r="Y23" s="53" t="inlineStr">
        <is>
          <t>768</t>
        </is>
      </c>
      <c r="Z23" s="53" t="inlineStr">
        <is>
          <t>DL/UL MU-MIMO; 2x2 (2.4), 4x4 (5)</t>
        </is>
      </c>
      <c r="AA23" s="53" t="inlineStr">
        <is>
          <t>2 (2.4); 4 (5); 2 MFR</t>
        </is>
      </c>
      <c r="AB23" s="52" t="inlineStr">
        <is>
          <t>26 dBm (2.4); 29 dBm (5), antenna/regulatory dependent</t>
        </is>
      </c>
      <c r="AC23" s="53" t="inlineStr">
        <is>
          <t>40 / 160 MHz (2.4 / 5)</t>
        </is>
      </c>
      <c r="AD23" s="53" t="inlineStr">
        <is>
          <t>0.574 / 2.4 Gbps (2.4 / 5)</t>
        </is>
      </c>
      <c r="AE23" s="53" t="inlineStr">
        <is>
          <t>Dedicated dual-band 2x2 MFR; WIPS/spectrum</t>
        </is>
      </c>
      <c r="AF23" s="53" t="inlineStr">
        <is>
          <t>1x5GbE + 1x1GbE RJ45</t>
        </is>
      </c>
      <c r="AG23" s="53" t="inlineStr">
        <is>
          <t>802.3at PoE+ or DC; 802.3af reduced mode</t>
        </is>
      </c>
      <c r="AH23" s="53" t="inlineStr">
        <is>
          <t>25.5 W</t>
        </is>
      </c>
      <c r="AI23" s="53" t="inlineStr">
        <is>
          <t>Qualcomm IPQ8071A 1GHz quad-core ARM; QCN5154/QCN5124/QCA9882</t>
        </is>
      </c>
      <c r="AJ23" s="53" t="inlineStr">
        <is>
          <t>1 GB</t>
        </is>
      </c>
      <c r="AK23" s="53" t="inlineStr">
        <is>
          <t>512 MB</t>
        </is>
      </c>
      <c r="AL23" s="53" t="inlineStr">
        <is>
          <t>211.1 × 223.4 × 52.2 mm</t>
        </is>
      </c>
      <c r="AM23" s="53" t="inlineStr">
        <is>
          <t>1.4 kg</t>
        </is>
      </c>
      <c r="AN23" s="53" t="inlineStr">
        <is>
          <t>-20 to 65°C</t>
        </is>
      </c>
      <c r="AO23" s="53" t="inlineStr">
        <is>
          <t>-25 to 70°C</t>
        </is>
      </c>
      <c r="AP23" s="53" t="inlineStr">
        <is>
          <t>0–95% non-condensing</t>
        </is>
      </c>
      <c r="AQ23" s="53" t="inlineStr">
        <is>
          <t>290,461 h @25°C; 82,687 h @65°C</t>
        </is>
      </c>
      <c r="AR23" s="53" t="inlineStr">
        <is>
          <t>TPM</t>
        </is>
      </c>
      <c r="AS23" s="53" t="inlineStr">
        <is>
          <t>BLE/location services</t>
        </is>
      </c>
      <c r="AT23" s="53" t="inlineStr">
        <is>
          <t>Outdoor; IP67; external antenna</t>
        </is>
      </c>
    </row>
    <row r="24" ht="104" customHeight="1">
      <c r="A24" s="17" t="n">
        <v>19</v>
      </c>
      <c r="B24" s="19" t="inlineStr">
        <is>
          <t>Wi-Fi 6</t>
        </is>
      </c>
      <c r="C24" s="19" t="inlineStr">
        <is>
          <t>Indoor</t>
        </is>
      </c>
      <c r="D24" s="19" t="inlineStr">
        <is>
          <t>C-200</t>
        </is>
      </c>
      <c r="E24" s="19" t="inlineStr">
        <is>
          <t>AP-C200</t>
        </is>
      </c>
      <c r="F24" s="19" t="inlineStr">
        <is>
          <t>내장 Omni</t>
        </is>
      </c>
      <c r="G24" s="19" t="inlineStr">
        <is>
          <t>-</t>
        </is>
      </c>
      <c r="H24" s="19" t="inlineStr">
        <is>
          <t>2x2:2 (5GHz) / 2x2:2 (2.4GHz)</t>
        </is>
      </c>
      <c r="I24" s="19" t="inlineStr">
        <is>
          <t>1.2 / 0.574 Gbps</t>
        </is>
      </c>
      <c r="J24" s="19" t="inlineStr">
        <is>
          <t>Dual-band</t>
        </is>
      </c>
      <c r="K24" s="19" t="inlineStr">
        <is>
          <t>WIPS 지원; background/멀티펑션 동작</t>
        </is>
      </c>
      <c r="L24" s="19" t="inlineStr">
        <is>
          <t>1x1GbE</t>
        </is>
      </c>
      <c r="M24" s="19" t="inlineStr">
        <is>
          <t>PoE</t>
        </is>
      </c>
      <c r="N24" s="19" t="inlineStr">
        <is>
          <t>천장/벽</t>
        </is>
      </c>
      <c r="O24" s="19" t="inlineStr">
        <is>
          <t>저/중밀도 deployment</t>
        </is>
      </c>
      <c r="P24" s="19" t="inlineStr">
        <is>
          <t>해당 없음(내장 안테나)</t>
        </is>
      </c>
      <c r="Q24" s="19" t="inlineStr">
        <is>
          <t>MNT-AP-24MM 기본; 기타 C-series mounting kit 호환</t>
        </is>
      </c>
      <c r="R24" s="19" t="inlineStr">
        <is>
          <t>2026-06 공식 AP 비교표 등재</t>
        </is>
      </c>
      <c r="S24" s="21" t="inlineStr">
        <is>
          <t>https://www.arista.com/en/products/wifi6-series</t>
        </is>
      </c>
      <c r="T24" s="21" t="inlineStr">
        <is>
          <t>https://www.arista.com/assets/data/pdf/Datasheets/Arista-C-200-Datasheet.pdf</t>
        </is>
      </c>
      <c r="U24" s="19" t="inlineStr"/>
      <c r="V24" s="51" t="inlineStr">
        <is>
          <t>IEEE 802.11ax (Wi-Fi 6)</t>
        </is>
      </c>
      <c r="W24" s="51" t="inlineStr">
        <is>
          <t>2.4 / 5 GHz</t>
        </is>
      </c>
      <c r="X24" s="51" t="inlineStr">
        <is>
          <t>2× 2x2:2 access radios; no dedicated MFR</t>
        </is>
      </c>
      <c r="Y24" s="51" t="inlineStr">
        <is>
          <t>768</t>
        </is>
      </c>
      <c r="Z24" s="51" t="inlineStr">
        <is>
          <t>DL/UL MU-MIMO, 2x2</t>
        </is>
      </c>
      <c r="AA24" s="51" t="inlineStr">
        <is>
          <t>2 per access radio</t>
        </is>
      </c>
      <c r="AB24" s="51" t="inlineStr">
        <is>
          <t>23.8 dBm (2.4); 23.6 dBm (5)</t>
        </is>
      </c>
      <c r="AC24" s="51" t="inlineStr">
        <is>
          <t>40 / 80 MHz (2.4 / 5)</t>
        </is>
      </c>
      <c r="AD24" s="51" t="inlineStr">
        <is>
          <t>0.574 / 1.2 Gbps (2.4 / 5)</t>
        </is>
      </c>
      <c r="AE24" s="51" t="inlineStr">
        <is>
          <t>Background scan / WIPS using access radios</t>
        </is>
      </c>
      <c r="AF24" s="51" t="inlineStr">
        <is>
          <t>1x1GbE RJ45</t>
        </is>
      </c>
      <c r="AG24" s="51" t="inlineStr">
        <is>
          <t>PoE or 12VDC (physical spec also lists 48V/260mA)</t>
        </is>
      </c>
      <c r="AH24" s="51" t="inlineStr">
        <is>
          <t>12.4 W</t>
        </is>
      </c>
      <c r="AI24" s="52" t="inlineStr">
        <is>
          <t>미기재(공식 데이터시트)</t>
        </is>
      </c>
      <c r="AJ24" s="51" t="inlineStr">
        <is>
          <t>1 GB</t>
        </is>
      </c>
      <c r="AK24" s="51" t="inlineStr">
        <is>
          <t>512 MB</t>
        </is>
      </c>
      <c r="AL24" s="51" t="inlineStr">
        <is>
          <t>167 × 167 × 44 mm</t>
        </is>
      </c>
      <c r="AM24" s="51" t="inlineStr">
        <is>
          <t>0.5 kg</t>
        </is>
      </c>
      <c r="AN24" s="51" t="inlineStr">
        <is>
          <t>0 to 40°C</t>
        </is>
      </c>
      <c r="AO24" s="51" t="inlineStr">
        <is>
          <t>-25 to 70°C</t>
        </is>
      </c>
      <c r="AP24" s="51" t="inlineStr">
        <is>
          <t>0–95% non-condensing</t>
        </is>
      </c>
      <c r="AQ24" s="51" t="inlineStr">
        <is>
          <t>363,153 h @25°C; 188,954 h @40°C</t>
        </is>
      </c>
      <c r="AR24" s="51" t="inlineStr">
        <is>
          <t>Kensington lock slot</t>
        </is>
      </c>
      <c r="AS24" s="51" t="inlineStr">
        <is>
          <t>Location services</t>
        </is>
      </c>
      <c r="AT24" s="51" t="inlineStr">
        <is>
          <t>Indoor</t>
        </is>
      </c>
    </row>
  </sheetData>
  <autoFilter ref="A5:AT24"/>
  <mergeCells count="9">
    <mergeCell ref="A4:U4"/>
    <mergeCell ref="AL4:AQ4"/>
    <mergeCell ref="A3:AT3"/>
    <mergeCell ref="V4:AE4"/>
    <mergeCell ref="A2:AT2"/>
    <mergeCell ref="AR4:AT4"/>
    <mergeCell ref="AI4:AK4"/>
    <mergeCell ref="A1:AT1"/>
    <mergeCell ref="AF4:AH4"/>
  </mergeCells>
  <hyperlinks>
    <hyperlink xmlns:r="http://schemas.openxmlformats.org/officeDocument/2006/relationships" ref="S6" r:id="rId1"/>
    <hyperlink xmlns:r="http://schemas.openxmlformats.org/officeDocument/2006/relationships" ref="T6" r:id="rId2"/>
    <hyperlink xmlns:r="http://schemas.openxmlformats.org/officeDocument/2006/relationships" ref="S7" r:id="rId3"/>
    <hyperlink xmlns:r="http://schemas.openxmlformats.org/officeDocument/2006/relationships" ref="T7" r:id="rId4"/>
    <hyperlink xmlns:r="http://schemas.openxmlformats.org/officeDocument/2006/relationships" ref="S8" r:id="rId5"/>
    <hyperlink xmlns:r="http://schemas.openxmlformats.org/officeDocument/2006/relationships" ref="T8" r:id="rId6"/>
    <hyperlink xmlns:r="http://schemas.openxmlformats.org/officeDocument/2006/relationships" ref="S9" r:id="rId7"/>
    <hyperlink xmlns:r="http://schemas.openxmlformats.org/officeDocument/2006/relationships" ref="T9" r:id="rId8"/>
    <hyperlink xmlns:r="http://schemas.openxmlformats.org/officeDocument/2006/relationships" ref="S10" r:id="rId9"/>
    <hyperlink xmlns:r="http://schemas.openxmlformats.org/officeDocument/2006/relationships" ref="T10" r:id="rId10"/>
    <hyperlink xmlns:r="http://schemas.openxmlformats.org/officeDocument/2006/relationships" ref="S11" r:id="rId11"/>
    <hyperlink xmlns:r="http://schemas.openxmlformats.org/officeDocument/2006/relationships" ref="T11" r:id="rId12"/>
    <hyperlink xmlns:r="http://schemas.openxmlformats.org/officeDocument/2006/relationships" ref="S12" r:id="rId13"/>
    <hyperlink xmlns:r="http://schemas.openxmlformats.org/officeDocument/2006/relationships" ref="T12" r:id="rId14"/>
    <hyperlink xmlns:r="http://schemas.openxmlformats.org/officeDocument/2006/relationships" ref="S13" r:id="rId15"/>
    <hyperlink xmlns:r="http://schemas.openxmlformats.org/officeDocument/2006/relationships" ref="T13" r:id="rId16"/>
    <hyperlink xmlns:r="http://schemas.openxmlformats.org/officeDocument/2006/relationships" ref="S14" r:id="rId17"/>
    <hyperlink xmlns:r="http://schemas.openxmlformats.org/officeDocument/2006/relationships" ref="T14" r:id="rId18"/>
    <hyperlink xmlns:r="http://schemas.openxmlformats.org/officeDocument/2006/relationships" ref="S15" r:id="rId19"/>
    <hyperlink xmlns:r="http://schemas.openxmlformats.org/officeDocument/2006/relationships" ref="T15" r:id="rId20"/>
    <hyperlink xmlns:r="http://schemas.openxmlformats.org/officeDocument/2006/relationships" ref="S16" r:id="rId21"/>
    <hyperlink xmlns:r="http://schemas.openxmlformats.org/officeDocument/2006/relationships" ref="T16" r:id="rId22"/>
    <hyperlink xmlns:r="http://schemas.openxmlformats.org/officeDocument/2006/relationships" ref="S17" r:id="rId23"/>
    <hyperlink xmlns:r="http://schemas.openxmlformats.org/officeDocument/2006/relationships" ref="T17" r:id="rId24"/>
    <hyperlink xmlns:r="http://schemas.openxmlformats.org/officeDocument/2006/relationships" ref="S18" r:id="rId25"/>
    <hyperlink xmlns:r="http://schemas.openxmlformats.org/officeDocument/2006/relationships" ref="T18" r:id="rId26"/>
    <hyperlink xmlns:r="http://schemas.openxmlformats.org/officeDocument/2006/relationships" ref="S19" r:id="rId27"/>
    <hyperlink xmlns:r="http://schemas.openxmlformats.org/officeDocument/2006/relationships" ref="T19" r:id="rId28"/>
    <hyperlink xmlns:r="http://schemas.openxmlformats.org/officeDocument/2006/relationships" ref="S20" r:id="rId29"/>
    <hyperlink xmlns:r="http://schemas.openxmlformats.org/officeDocument/2006/relationships" ref="T20" r:id="rId30"/>
    <hyperlink xmlns:r="http://schemas.openxmlformats.org/officeDocument/2006/relationships" ref="S21" r:id="rId31"/>
    <hyperlink xmlns:r="http://schemas.openxmlformats.org/officeDocument/2006/relationships" ref="T21" r:id="rId32"/>
    <hyperlink xmlns:r="http://schemas.openxmlformats.org/officeDocument/2006/relationships" ref="S22" r:id="rId33"/>
    <hyperlink xmlns:r="http://schemas.openxmlformats.org/officeDocument/2006/relationships" ref="T22" r:id="rId34"/>
    <hyperlink xmlns:r="http://schemas.openxmlformats.org/officeDocument/2006/relationships" ref="S23" r:id="rId35"/>
    <hyperlink xmlns:r="http://schemas.openxmlformats.org/officeDocument/2006/relationships" ref="T23" r:id="rId36"/>
    <hyperlink xmlns:r="http://schemas.openxmlformats.org/officeDocument/2006/relationships" ref="S24" r:id="rId37"/>
    <hyperlink xmlns:r="http://schemas.openxmlformats.org/officeDocument/2006/relationships" ref="T24" r:id="rId38"/>
  </hyperlinks>
  <pageMargins left="0.25" right="0.25" top="0.5" bottom="0.5" header="0.5" footer="0.5"/>
  <pageSetup orientation="landscape" fitToHeight="0" fitToWidth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0F6B78"/>
    <outlinePr summaryBelow="1" summaryRight="1"/>
    <pageSetUpPr fitToPage="1"/>
  </sheetPr>
  <dimension ref="A1:I13"/>
  <sheetViews>
    <sheetView showGridLines="0" zoomScale="8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8" customWidth="1" min="3" max="3"/>
    <col width="40" customWidth="1" min="4" max="4"/>
    <col width="34" customWidth="1" min="5" max="5"/>
    <col width="18" customWidth="1" min="6" max="6"/>
    <col width="16" customWidth="1" min="7" max="7"/>
    <col width="42" customWidth="1" min="8" max="8"/>
    <col width="58" customWidth="1" min="9" max="9"/>
  </cols>
  <sheetData>
    <row r="1" ht="30" customHeight="1">
      <c r="A1" s="1" t="inlineStr">
        <is>
          <t>Arista AP 마운트킷 / 설치 브래킷</t>
        </is>
      </c>
    </row>
    <row r="2" ht="22" customHeight="1">
      <c r="A2" s="14" t="inlineStr">
        <is>
          <t>C-series ceiling AP 및 O-series outdoor AP | 기준일 2026-09-08</t>
        </is>
      </c>
    </row>
    <row r="3" ht="35" customHeight="1">
      <c r="A3" s="15" t="inlineStr">
        <is>
          <t>모델별 기본 동봉품은 지역/포장 SKU에 따라 달라질 수 있으므로 최종 BOM과 packing list를 확인하십시오.</t>
        </is>
      </c>
    </row>
    <row r="4"/>
    <row r="5" ht="42" customHeight="1">
      <c r="A5" s="16" t="inlineStr">
        <is>
          <t>No</t>
        </is>
      </c>
      <c r="B5" s="16" t="inlineStr">
        <is>
          <t>Part Number</t>
        </is>
      </c>
      <c r="C5" s="16" t="inlineStr">
        <is>
          <t>설치 위치</t>
        </is>
      </c>
      <c r="D5" s="16" t="inlineStr">
        <is>
          <t>대상 레일/표면</t>
        </is>
      </c>
      <c r="E5" s="16" t="inlineStr">
        <is>
          <t>호환 AP</t>
        </is>
      </c>
      <c r="F5" s="16" t="inlineStr">
        <is>
          <t>기본 동봉</t>
        </is>
      </c>
      <c r="G5" s="16" t="inlineStr">
        <is>
          <t>별도 구매</t>
        </is>
      </c>
      <c r="H5" s="16" t="inlineStr">
        <is>
          <t>비고</t>
        </is>
      </c>
      <c r="I5" s="16" t="inlineStr">
        <is>
          <t>공식 가이드</t>
        </is>
      </c>
    </row>
    <row r="6" ht="52" customHeight="1">
      <c r="A6" s="17" t="n">
        <v>1</v>
      </c>
      <c r="B6" s="19" t="inlineStr">
        <is>
          <t>MNT-AP-15MM</t>
        </is>
      </c>
      <c r="C6" s="19" t="inlineStr">
        <is>
          <t>천장</t>
        </is>
      </c>
      <c r="D6" s="19" t="inlineStr">
        <is>
          <t>Suprafine 15mm (9/16 in) T-grid</t>
        </is>
      </c>
      <c r="E6" s="19" t="inlineStr">
        <is>
          <t>모든 C-series ceiling AP</t>
        </is>
      </c>
      <c r="F6" s="19" t="inlineStr">
        <is>
          <t>아니오</t>
        </is>
      </c>
      <c r="G6" s="19" t="inlineStr">
        <is>
          <t>예</t>
        </is>
      </c>
      <c r="H6" s="19" t="inlineStr">
        <is>
          <t>표준 15mm T-grid 브래킷</t>
        </is>
      </c>
      <c r="I6" s="21" t="inlineStr">
        <is>
          <t>https://www.arista.com/assets/data/pdf/Datasheets/AP-Mounting-Brackets-Datasheet.pdf</t>
        </is>
      </c>
    </row>
    <row r="7" ht="52" customHeight="1">
      <c r="A7" s="32" t="n">
        <v>2</v>
      </c>
      <c r="B7" s="33" t="inlineStr">
        <is>
          <t>MNT-AP-15MM-ADAPTER</t>
        </is>
      </c>
      <c r="C7" s="33" t="inlineStr">
        <is>
          <t>천장(매립 타일)</t>
        </is>
      </c>
      <c r="D7" s="33" t="inlineStr">
        <is>
          <t>Recessed Suprafine 15mm T-grid</t>
        </is>
      </c>
      <c r="E7" s="33" t="inlineStr">
        <is>
          <t>모든 C-series ceiling AP</t>
        </is>
      </c>
      <c r="F7" s="33" t="inlineStr">
        <is>
          <t>아니오</t>
        </is>
      </c>
      <c r="G7" s="33" t="inlineStr">
        <is>
          <t>예</t>
        </is>
      </c>
      <c r="H7" s="33" t="inlineStr">
        <is>
          <t>매립형 타일 adapter</t>
        </is>
      </c>
      <c r="I7" s="34" t="inlineStr">
        <is>
          <t>https://www.arista.com/assets/data/pdf/Datasheets/AP-Mounting-Brackets-Datasheet.pdf</t>
        </is>
      </c>
    </row>
    <row r="8" ht="52" customHeight="1">
      <c r="A8" s="25" t="n">
        <v>3</v>
      </c>
      <c r="B8" s="27" t="inlineStr">
        <is>
          <t>MNT-AP-24MM</t>
        </is>
      </c>
      <c r="C8" s="27" t="inlineStr">
        <is>
          <t>천장</t>
        </is>
      </c>
      <c r="D8" s="27" t="inlineStr">
        <is>
          <t>Prelude 24mm (15/16 in) T-grid</t>
        </is>
      </c>
      <c r="E8" s="27" t="inlineStr">
        <is>
          <t>모든 C-series ceiling AP</t>
        </is>
      </c>
      <c r="F8" s="27" t="inlineStr">
        <is>
          <t>예(일반 C-series)</t>
        </is>
      </c>
      <c r="G8" s="27" t="inlineStr">
        <is>
          <t>예</t>
        </is>
      </c>
      <c r="H8" s="27" t="inlineStr">
        <is>
          <t>C-series 표준 동봉 브래킷</t>
        </is>
      </c>
      <c r="I8" s="30" t="inlineStr">
        <is>
          <t>https://www.arista.com/assets/data/pdf/Datasheets/AP-Mounting-Brackets-Datasheet.pdf</t>
        </is>
      </c>
    </row>
    <row r="9" ht="52" customHeight="1">
      <c r="A9" s="32" t="n">
        <v>4</v>
      </c>
      <c r="B9" s="33" t="inlineStr">
        <is>
          <t>MNT-AP-24MM-ADAPTER</t>
        </is>
      </c>
      <c r="C9" s="33" t="inlineStr">
        <is>
          <t>천장(매립 타일)</t>
        </is>
      </c>
      <c r="D9" s="33" t="inlineStr">
        <is>
          <t>Recessed Prelude 24mm T-grid</t>
        </is>
      </c>
      <c r="E9" s="33" t="inlineStr">
        <is>
          <t>모든 C-series ceiling AP</t>
        </is>
      </c>
      <c r="F9" s="33" t="inlineStr">
        <is>
          <t>아니오</t>
        </is>
      </c>
      <c r="G9" s="33" t="inlineStr">
        <is>
          <t>예</t>
        </is>
      </c>
      <c r="H9" s="33" t="inlineStr">
        <is>
          <t>매립형 타일 adapter</t>
        </is>
      </c>
      <c r="I9" s="34" t="inlineStr">
        <is>
          <t>https://www.arista.com/assets/data/pdf/Datasheets/AP-Mounting-Brackets-Datasheet.pdf</t>
        </is>
      </c>
    </row>
    <row r="10" ht="52" customHeight="1">
      <c r="A10" s="25" t="n">
        <v>5</v>
      </c>
      <c r="B10" s="27" t="inlineStr">
        <is>
          <t>MNT-AP-INTSIL</t>
        </is>
      </c>
      <c r="C10" s="27" t="inlineStr">
        <is>
          <t>천장</t>
        </is>
      </c>
      <c r="D10" s="27" t="inlineStr">
        <is>
          <t>Interlude / Silhouette T-grid</t>
        </is>
      </c>
      <c r="E10" s="27" t="inlineStr">
        <is>
          <t>모든 C-series ceiling AP</t>
        </is>
      </c>
      <c r="F10" s="27" t="inlineStr">
        <is>
          <t>아니오</t>
        </is>
      </c>
      <c r="G10" s="27" t="inlineStr">
        <is>
          <t>예</t>
        </is>
      </c>
      <c r="H10" s="27" t="inlineStr">
        <is>
          <t>Interlude/Silhouette rail용</t>
        </is>
      </c>
      <c r="I10" s="30" t="inlineStr">
        <is>
          <t>https://www.arista.com/assets/data/pdf/Datasheets/AP-Mounting-Brackets-Datasheet.pdf</t>
        </is>
      </c>
    </row>
    <row r="11" ht="52" customHeight="1">
      <c r="A11" s="32" t="n">
        <v>6</v>
      </c>
      <c r="B11" s="33" t="inlineStr">
        <is>
          <t>MNT-AP-FLAT-14CM</t>
        </is>
      </c>
      <c r="C11" s="33" t="inlineStr">
        <is>
          <t>벽/하드 천장/정션박스</t>
        </is>
      </c>
      <c r="D11" s="33" t="inlineStr">
        <is>
          <t>평면, wall, hard ceiling, gang box</t>
        </is>
      </c>
      <c r="E11" s="33" t="inlineStr">
        <is>
          <t>모든 C-series ceiling AP</t>
        </is>
      </c>
      <c r="F11" s="33" t="inlineStr">
        <is>
          <t>아니오</t>
        </is>
      </c>
      <c r="G11" s="33" t="inlineStr">
        <is>
          <t>예</t>
        </is>
      </c>
      <c r="H11" s="33" t="inlineStr">
        <is>
          <t>Flat-surface 설치</t>
        </is>
      </c>
      <c r="I11" s="34" t="inlineStr">
        <is>
          <t>https://www.arista.com/assets/data/pdf/Datasheets/AP-Mounting-Brackets-Datasheet.pdf</t>
        </is>
      </c>
    </row>
    <row r="12" ht="52" customHeight="1">
      <c r="A12" s="25" t="n">
        <v>7</v>
      </c>
      <c r="B12" s="27" t="inlineStr">
        <is>
          <t>MNT-AP-U-ADAPTER-1</t>
        </is>
      </c>
      <c r="C12" s="27" t="inlineStr">
        <is>
          <t>천장</t>
        </is>
      </c>
      <c r="D12" s="27" t="inlineStr">
        <is>
          <t>기존 Cisco AP mount에 연결하는 adapter</t>
        </is>
      </c>
      <c r="E12" s="27" t="inlineStr">
        <is>
          <t>모든 C-series ceiling AP</t>
        </is>
      </c>
      <c r="F12" s="27" t="inlineStr">
        <is>
          <t>아니오</t>
        </is>
      </c>
      <c r="G12" s="27" t="inlineStr">
        <is>
          <t>예</t>
        </is>
      </c>
      <c r="H12" s="27" t="inlineStr">
        <is>
          <t>기존 mount 재사용 adapter</t>
        </is>
      </c>
      <c r="I12" s="30" t="inlineStr">
        <is>
          <t>https://www.arista.com/assets/data/pdf/Datasheets/AP-Mounting-Brackets-Datasheet.pdf</t>
        </is>
      </c>
    </row>
    <row r="13" ht="52" customHeight="1">
      <c r="A13" s="32" t="n">
        <v>8</v>
      </c>
      <c r="B13" s="33" t="inlineStr">
        <is>
          <t>Outdoor AP mount</t>
        </is>
      </c>
      <c r="C13" s="33" t="inlineStr">
        <is>
          <t>폴/벽</t>
        </is>
      </c>
      <c r="D13" s="33" t="inlineStr">
        <is>
          <t>Outdoor pole/wall</t>
        </is>
      </c>
      <c r="E13" s="33" t="inlineStr">
        <is>
          <t>모든 O-series AP</t>
        </is>
      </c>
      <c r="F13" s="33" t="inlineStr">
        <is>
          <t>예(O-series)</t>
        </is>
      </c>
      <c r="G13" s="33" t="inlineStr">
        <is>
          <t>아니오</t>
        </is>
      </c>
      <c r="H13" s="33" t="inlineStr">
        <is>
          <t>AP와 함께 제공되며 별도 구매 불가</t>
        </is>
      </c>
      <c r="I13" s="34" t="inlineStr">
        <is>
          <t>https://www.arista.com/assets/data/pdf/Datasheets/AP-Mounting-Brackets-Datasheet.pdf</t>
        </is>
      </c>
    </row>
  </sheetData>
  <autoFilter ref="A5:I13"/>
  <mergeCells count="3">
    <mergeCell ref="A1:I1"/>
    <mergeCell ref="A3:I3"/>
    <mergeCell ref="A2:I2"/>
  </mergeCells>
  <hyperlinks>
    <hyperlink xmlns:r="http://schemas.openxmlformats.org/officeDocument/2006/relationships" ref="I6" r:id="rId1"/>
    <hyperlink xmlns:r="http://schemas.openxmlformats.org/officeDocument/2006/relationships" ref="I7" r:id="rId2"/>
    <hyperlink xmlns:r="http://schemas.openxmlformats.org/officeDocument/2006/relationships" ref="I8" r:id="rId3"/>
    <hyperlink xmlns:r="http://schemas.openxmlformats.org/officeDocument/2006/relationships" ref="I9" r:id="rId4"/>
    <hyperlink xmlns:r="http://schemas.openxmlformats.org/officeDocument/2006/relationships" ref="I10" r:id="rId5"/>
    <hyperlink xmlns:r="http://schemas.openxmlformats.org/officeDocument/2006/relationships" ref="I11" r:id="rId6"/>
    <hyperlink xmlns:r="http://schemas.openxmlformats.org/officeDocument/2006/relationships" ref="I12" r:id="rId7"/>
    <hyperlink xmlns:r="http://schemas.openxmlformats.org/officeDocument/2006/relationships" ref="I13" r:id="rId8"/>
  </hyperlinks>
  <pageMargins left="0.25" right="0.25" top="0.5" bottom="0.5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0F6B78"/>
    <outlinePr summaryBelow="1" summaryRight="1"/>
    <pageSetUpPr fitToPage="1"/>
  </sheetPr>
  <dimension ref="A1:N44"/>
  <sheetViews>
    <sheetView showGridLines="0" zoomScale="8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34" customWidth="1" min="3" max="3"/>
    <col width="40" customWidth="1" min="4" max="4"/>
    <col width="16" customWidth="1" min="5" max="5"/>
    <col width="15" customWidth="1" min="6" max="6"/>
    <col width="23" customWidth="1" min="7" max="7"/>
    <col width="22" customWidth="1" min="8" max="8"/>
    <col width="22" customWidth="1" min="9" max="9"/>
    <col width="20" customWidth="1" min="10" max="10"/>
    <col width="27" customWidth="1" min="11" max="11"/>
    <col width="34" customWidth="1" min="12" max="12"/>
    <col width="38" customWidth="1" min="13" max="13"/>
    <col width="58" customWidth="1" min="14" max="14"/>
  </cols>
  <sheetData>
    <row r="1" ht="30" customHeight="1">
      <c r="A1" s="1" t="inlineStr">
        <is>
          <t>Arista AP 외장 안테나 모델</t>
        </is>
      </c>
    </row>
    <row r="2" ht="22" customHeight="1">
      <c r="A2" s="14" t="inlineStr">
        <is>
          <t>공식 Antenna Selection Guide의 Indoor / Outdoor 안테나 | 기준일 2026-09-08</t>
        </is>
      </c>
    </row>
    <row r="3" ht="35" customHeight="1">
      <c r="A3" s="15" t="inlineStr">
        <is>
          <t>Gain·beamwidth·connector·AP compatibility를 공식 가이드 표기대로 요약했습니다. 실제 적용에는 국가별 regulatory domain, AFC, cable loss, EIRP 및 설치 환경 검토가 필요합니다.</t>
        </is>
      </c>
    </row>
    <row r="4"/>
    <row r="5" ht="42" customHeight="1">
      <c r="A5" s="16" t="inlineStr">
        <is>
          <t>No</t>
        </is>
      </c>
      <c r="B5" s="16" t="inlineStr">
        <is>
          <t>환경</t>
        </is>
      </c>
      <c r="C5" s="16" t="inlineStr">
        <is>
          <t>Part Number</t>
        </is>
      </c>
      <c r="D5" s="16" t="inlineStr">
        <is>
          <t>Alias/설명</t>
        </is>
      </c>
      <c r="E5" s="16" t="inlineStr">
        <is>
          <t>패턴</t>
        </is>
      </c>
      <c r="F5" s="16" t="inlineStr">
        <is>
          <t>대역</t>
        </is>
      </c>
      <c r="G5" s="16" t="inlineStr">
        <is>
          <t>Gain (2.4/5/6GHz)</t>
        </is>
      </c>
      <c r="H5" s="16" t="inlineStr">
        <is>
          <t>수평 빔폭</t>
        </is>
      </c>
      <c r="I5" s="16" t="inlineStr">
        <is>
          <t>수직 빔폭</t>
        </is>
      </c>
      <c r="J5" s="16" t="inlineStr">
        <is>
          <t>Connector</t>
        </is>
      </c>
      <c r="K5" s="16" t="inlineStr">
        <is>
          <t>공식 AP 호환성</t>
        </is>
      </c>
      <c r="L5" s="16" t="inlineStr">
        <is>
          <t>권장 용도(일반)</t>
        </is>
      </c>
      <c r="M5" s="16" t="inlineStr">
        <is>
          <t>상태/주의</t>
        </is>
      </c>
      <c r="N5" s="16" t="inlineStr">
        <is>
          <t>공식 가이드</t>
        </is>
      </c>
    </row>
    <row r="6" ht="58" customHeight="1">
      <c r="A6" s="17" t="n">
        <v>1</v>
      </c>
      <c r="B6" s="19" t="inlineStr">
        <is>
          <t>Indoor</t>
        </is>
      </c>
      <c r="C6" s="19" t="inlineStr">
        <is>
          <t>ATS-01060</t>
        </is>
      </c>
      <c r="D6" s="19" t="inlineStr"/>
      <c r="E6" s="19" t="inlineStr">
        <is>
          <t>Omni</t>
        </is>
      </c>
      <c r="F6" s="19" t="inlineStr">
        <is>
          <t>Tri-band</t>
        </is>
      </c>
      <c r="G6" s="19" t="inlineStr">
        <is>
          <t>4 / 6 / 6 dBi</t>
        </is>
      </c>
      <c r="H6" s="19" t="inlineStr">
        <is>
          <t>360°</t>
        </is>
      </c>
      <c r="I6" s="19" t="inlineStr">
        <is>
          <t>102° / 75° / 75°</t>
        </is>
      </c>
      <c r="J6" s="19" t="inlineStr">
        <is>
          <t>RP-SMA Plug</t>
        </is>
      </c>
      <c r="K6" s="19" t="inlineStr">
        <is>
          <t>C-460E, C-230E</t>
        </is>
      </c>
      <c r="L6" s="19" t="inlineStr">
        <is>
          <t>실내 전방향 일반 커버리지</t>
        </is>
      </c>
      <c r="M6" s="19" t="inlineStr">
        <is>
          <t>공식 Antenna Selection Guide 등재</t>
        </is>
      </c>
      <c r="N6" s="21" t="inlineStr">
        <is>
          <t>https://www.arista.com/assets/data/pdf/Datasheets/Antenna-Selection-Guide.pdf</t>
        </is>
      </c>
    </row>
    <row r="7" ht="58" customHeight="1">
      <c r="A7" s="22" t="n">
        <v>2</v>
      </c>
      <c r="B7" s="23" t="inlineStr">
        <is>
          <t>Indoor</t>
        </is>
      </c>
      <c r="C7" s="23" t="inlineStr">
        <is>
          <t>ATS-03286</t>
        </is>
      </c>
      <c r="D7" s="23" t="inlineStr"/>
      <c r="E7" s="23" t="inlineStr">
        <is>
          <t>Directional</t>
        </is>
      </c>
      <c r="F7" s="23" t="inlineStr">
        <is>
          <t>Tri-band</t>
        </is>
      </c>
      <c r="G7" s="23" t="inlineStr">
        <is>
          <t>4 / 7 / 7 dBi</t>
        </is>
      </c>
      <c r="H7" s="23" t="inlineStr">
        <is>
          <t>75° / 50° / 45°</t>
        </is>
      </c>
      <c r="I7" s="23" t="inlineStr">
        <is>
          <t>75° / 50° / 45°</t>
        </is>
      </c>
      <c r="J7" s="23" t="inlineStr">
        <is>
          <t>RP-SMA Plug</t>
        </is>
      </c>
      <c r="K7" s="23" t="inlineStr">
        <is>
          <t>C-460E, C-230E</t>
        </is>
      </c>
      <c r="L7" s="23" t="inlineStr">
        <is>
          <t>실내 섹터/복도 지향성</t>
        </is>
      </c>
      <c r="M7" s="23" t="inlineStr">
        <is>
          <t>공식 Antenna Selection Guide 등재</t>
        </is>
      </c>
      <c r="N7" s="24" t="inlineStr">
        <is>
          <t>https://www.arista.com/assets/data/pdf/Datasheets/Antenna-Selection-Guide.pdf</t>
        </is>
      </c>
    </row>
    <row r="8" ht="58" customHeight="1">
      <c r="A8" s="17" t="n">
        <v>3</v>
      </c>
      <c r="B8" s="19" t="inlineStr">
        <is>
          <t>Indoor</t>
        </is>
      </c>
      <c r="C8" s="19" t="inlineStr">
        <is>
          <t>ATS-03287</t>
        </is>
      </c>
      <c r="D8" s="19" t="inlineStr"/>
      <c r="E8" s="19" t="inlineStr">
        <is>
          <t>Directional</t>
        </is>
      </c>
      <c r="F8" s="19" t="inlineStr">
        <is>
          <t>Tri-band</t>
        </is>
      </c>
      <c r="G8" s="19" t="inlineStr">
        <is>
          <t>6 / 6 / 6 dBi</t>
        </is>
      </c>
      <c r="H8" s="19" t="inlineStr">
        <is>
          <t>70° / 70° / 70°</t>
        </is>
      </c>
      <c r="I8" s="19" t="inlineStr">
        <is>
          <t>70° / 70° / 70°</t>
        </is>
      </c>
      <c r="J8" s="19" t="inlineStr">
        <is>
          <t>RP-SMA Plug</t>
        </is>
      </c>
      <c r="K8" s="19" t="inlineStr">
        <is>
          <t>C-460E, C-230E</t>
        </is>
      </c>
      <c r="L8" s="19" t="inlineStr">
        <is>
          <t>균일 빔 섹터 커버리지</t>
        </is>
      </c>
      <c r="M8" s="19" t="inlineStr">
        <is>
          <t>공식 Antenna Selection Guide 등재</t>
        </is>
      </c>
      <c r="N8" s="21" t="inlineStr">
        <is>
          <t>https://www.arista.com/assets/data/pdf/Datasheets/Antenna-Selection-Guide.pdf</t>
        </is>
      </c>
    </row>
    <row r="9" ht="58" customHeight="1">
      <c r="A9" s="22" t="n">
        <v>4</v>
      </c>
      <c r="B9" s="23" t="inlineStr">
        <is>
          <t>Indoor</t>
        </is>
      </c>
      <c r="C9" s="23" t="inlineStr">
        <is>
          <t>ATS-03288</t>
        </is>
      </c>
      <c r="D9" s="23" t="inlineStr"/>
      <c r="E9" s="23" t="inlineStr">
        <is>
          <t>Directional</t>
        </is>
      </c>
      <c r="F9" s="23" t="inlineStr">
        <is>
          <t>Tri-band</t>
        </is>
      </c>
      <c r="G9" s="23" t="inlineStr">
        <is>
          <t>6 / 6 / 6 dBi</t>
        </is>
      </c>
      <c r="H9" s="23" t="inlineStr">
        <is>
          <t>105° / 105° / 105°</t>
        </is>
      </c>
      <c r="I9" s="23" t="inlineStr">
        <is>
          <t>85° / 60° / 50°</t>
        </is>
      </c>
      <c r="J9" s="23" t="inlineStr">
        <is>
          <t>RP-SMA Plug</t>
        </is>
      </c>
      <c r="K9" s="23" t="inlineStr">
        <is>
          <t>C-460E, C-230E</t>
        </is>
      </c>
      <c r="L9" s="23" t="inlineStr">
        <is>
          <t>넓은 섹터/벽면 커버리지</t>
        </is>
      </c>
      <c r="M9" s="23" t="inlineStr">
        <is>
          <t>공식 Antenna Selection Guide 등재</t>
        </is>
      </c>
      <c r="N9" s="24" t="inlineStr">
        <is>
          <t>https://www.arista.com/assets/data/pdf/Datasheets/Antenna-Selection-Guide.pdf</t>
        </is>
      </c>
    </row>
    <row r="10" ht="58" customHeight="1">
      <c r="A10" s="17" t="n">
        <v>5</v>
      </c>
      <c r="B10" s="19" t="inlineStr">
        <is>
          <t>Indoor</t>
        </is>
      </c>
      <c r="C10" s="19" t="inlineStr">
        <is>
          <t>ATS-03289</t>
        </is>
      </c>
      <c r="D10" s="19" t="inlineStr"/>
      <c r="E10" s="19" t="inlineStr">
        <is>
          <t>Directional</t>
        </is>
      </c>
      <c r="F10" s="19" t="inlineStr">
        <is>
          <t>Tri-band</t>
        </is>
      </c>
      <c r="G10" s="19" t="inlineStr">
        <is>
          <t>8 / 8 / 8 dBi</t>
        </is>
      </c>
      <c r="H10" s="19" t="inlineStr">
        <is>
          <t>115° / 110° / 110°</t>
        </is>
      </c>
      <c r="I10" s="19" t="inlineStr">
        <is>
          <t>50° / 25° / 25°</t>
        </is>
      </c>
      <c r="J10" s="19" t="inlineStr">
        <is>
          <t>RP-SMA Plug</t>
        </is>
      </c>
      <c r="K10" s="19" t="inlineStr">
        <is>
          <t>C-460E, C-230E</t>
        </is>
      </c>
      <c r="L10" s="19" t="inlineStr">
        <is>
          <t>넓은 수평·좁은 수직 빔</t>
        </is>
      </c>
      <c r="M10" s="19" t="inlineStr">
        <is>
          <t>공식 Antenna Selection Guide 등재</t>
        </is>
      </c>
      <c r="N10" s="21" t="inlineStr">
        <is>
          <t>https://www.arista.com/assets/data/pdf/Datasheets/Antenna-Selection-Guide.pdf</t>
        </is>
      </c>
    </row>
    <row r="11" ht="58" customHeight="1">
      <c r="A11" s="22" t="n">
        <v>6</v>
      </c>
      <c r="B11" s="23" t="inlineStr">
        <is>
          <t>Indoor</t>
        </is>
      </c>
      <c r="C11" s="23" t="inlineStr">
        <is>
          <t>ATS-03276</t>
        </is>
      </c>
      <c r="D11" s="23" t="inlineStr"/>
      <c r="E11" s="23" t="inlineStr">
        <is>
          <t>Directional</t>
        </is>
      </c>
      <c r="F11" s="23" t="inlineStr">
        <is>
          <t>Tri-band</t>
        </is>
      </c>
      <c r="G11" s="23" t="inlineStr">
        <is>
          <t>8 / 10 / 10 dBi</t>
        </is>
      </c>
      <c r="H11" s="23" t="inlineStr">
        <is>
          <t>65° / 45° / 40°</t>
        </is>
      </c>
      <c r="I11" s="23" t="inlineStr">
        <is>
          <t>65° / 45° / 40°</t>
        </is>
      </c>
      <c r="J11" s="23" t="inlineStr">
        <is>
          <t>RP-SMA Plug</t>
        </is>
      </c>
      <c r="K11" s="23" t="inlineStr">
        <is>
          <t>C-460E, C-230E</t>
        </is>
      </c>
      <c r="L11" s="23" t="inlineStr">
        <is>
          <t>중고이득 섹터/복도</t>
        </is>
      </c>
      <c r="M11" s="23" t="inlineStr">
        <is>
          <t>공식 Antenna Selection Guide 등재</t>
        </is>
      </c>
      <c r="N11" s="24" t="inlineStr">
        <is>
          <t>https://www.arista.com/assets/data/pdf/Datasheets/Antenna-Selection-Guide.pdf</t>
        </is>
      </c>
    </row>
    <row r="12" ht="58" customHeight="1">
      <c r="A12" s="17" t="n">
        <v>7</v>
      </c>
      <c r="B12" s="19" t="inlineStr">
        <is>
          <t>Indoor</t>
        </is>
      </c>
      <c r="C12" s="19" t="inlineStr">
        <is>
          <t>ATS-03285</t>
        </is>
      </c>
      <c r="D12" s="19" t="inlineStr"/>
      <c r="E12" s="19" t="inlineStr">
        <is>
          <t>Directional</t>
        </is>
      </c>
      <c r="F12" s="19" t="inlineStr">
        <is>
          <t>Tri-band</t>
        </is>
      </c>
      <c r="G12" s="19" t="inlineStr">
        <is>
          <t>9 / 11 / 11 dBi</t>
        </is>
      </c>
      <c r="H12" s="19" t="inlineStr">
        <is>
          <t>30° / 15° / 12°</t>
        </is>
      </c>
      <c r="I12" s="19" t="inlineStr">
        <is>
          <t>120° / 110° / 110°</t>
        </is>
      </c>
      <c r="J12" s="19" t="inlineStr">
        <is>
          <t>RP-SMA Plug</t>
        </is>
      </c>
      <c r="K12" s="19" t="inlineStr">
        <is>
          <t>C-460E, C-230E</t>
        </is>
      </c>
      <c r="L12" s="19" t="inlineStr">
        <is>
          <t>좁은 수평 빔/통로·랙 열</t>
        </is>
      </c>
      <c r="M12" s="19" t="inlineStr">
        <is>
          <t>공식 Antenna Selection Guide 등재</t>
        </is>
      </c>
      <c r="N12" s="21" t="inlineStr">
        <is>
          <t>https://www.arista.com/assets/data/pdf/Datasheets/Antenna-Selection-Guide.pdf</t>
        </is>
      </c>
    </row>
    <row r="13" ht="58" customHeight="1">
      <c r="A13" s="22" t="n">
        <v>8</v>
      </c>
      <c r="B13" s="23" t="inlineStr">
        <is>
          <t>Indoor</t>
        </is>
      </c>
      <c r="C13" s="23" t="inlineStr">
        <is>
          <t>ATS-03411</t>
        </is>
      </c>
      <c r="D13" s="23" t="inlineStr"/>
      <c r="E13" s="23" t="inlineStr">
        <is>
          <t>Directional</t>
        </is>
      </c>
      <c r="F13" s="23" t="inlineStr">
        <is>
          <t>Tri-band</t>
        </is>
      </c>
      <c r="G13" s="23" t="inlineStr">
        <is>
          <t>13 / 15 / 15 dBi</t>
        </is>
      </c>
      <c r="H13" s="23" t="inlineStr">
        <is>
          <t>25° / 20° / 20°</t>
        </is>
      </c>
      <c r="I13" s="23" t="inlineStr">
        <is>
          <t>25° / 20° / 20°</t>
        </is>
      </c>
      <c r="J13" s="23" t="inlineStr">
        <is>
          <t>RP-SMA Plug</t>
        </is>
      </c>
      <c r="K13" s="23" t="inlineStr">
        <is>
          <t>C-460E</t>
        </is>
      </c>
      <c r="L13" s="23" t="inlineStr">
        <is>
          <t>고이득 좁은 빔; 전문 RF 설계</t>
        </is>
      </c>
      <c r="M13" s="23" t="inlineStr">
        <is>
          <t>공식 Antenna Selection Guide 등재</t>
        </is>
      </c>
      <c r="N13" s="24" t="inlineStr">
        <is>
          <t>https://www.arista.com/assets/data/pdf/Datasheets/Antenna-Selection-Guide.pdf</t>
        </is>
      </c>
    </row>
    <row r="14" ht="58" customHeight="1">
      <c r="A14" s="17" t="n">
        <v>9</v>
      </c>
      <c r="B14" s="19" t="inlineStr">
        <is>
          <t>Indoor</t>
        </is>
      </c>
      <c r="C14" s="19" t="inlineStr">
        <is>
          <t>375087</t>
        </is>
      </c>
      <c r="D14" s="19" t="inlineStr"/>
      <c r="E14" s="19" t="inlineStr">
        <is>
          <t>Omni</t>
        </is>
      </c>
      <c r="F14" s="19" t="inlineStr">
        <is>
          <t>Dual-band</t>
        </is>
      </c>
      <c r="G14" s="19" t="inlineStr">
        <is>
          <t>2.5 / 4 / - dBi</t>
        </is>
      </c>
      <c r="H14" s="19" t="inlineStr">
        <is>
          <t>360°</t>
        </is>
      </c>
      <c r="I14" s="19" t="inlineStr">
        <is>
          <t>55° / 60°</t>
        </is>
      </c>
      <c r="J14" s="19" t="inlineStr">
        <is>
          <t>RP-SMA Male</t>
        </is>
      </c>
      <c r="K14" s="19" t="inlineStr">
        <is>
          <t>C-230E</t>
        </is>
      </c>
      <c r="L14" s="19" t="inlineStr">
        <is>
          <t>실내 전방향 일반 커버리지</t>
        </is>
      </c>
      <c r="M14" s="19" t="inlineStr">
        <is>
          <t>공식 Antenna Selection Guide 등재</t>
        </is>
      </c>
      <c r="N14" s="21" t="inlineStr">
        <is>
          <t>https://www.arista.com/assets/data/pdf/Datasheets/Antenna-Selection-Guide.pdf</t>
        </is>
      </c>
    </row>
    <row r="15" ht="58" customHeight="1">
      <c r="A15" s="22" t="n">
        <v>10</v>
      </c>
      <c r="B15" s="23" t="inlineStr">
        <is>
          <t>Indoor</t>
        </is>
      </c>
      <c r="C15" s="23" t="inlineStr">
        <is>
          <t>250940</t>
        </is>
      </c>
      <c r="D15" s="23" t="inlineStr"/>
      <c r="E15" s="23" t="inlineStr">
        <is>
          <t>Directional</t>
        </is>
      </c>
      <c r="F15" s="23" t="inlineStr">
        <is>
          <t>Dual-band</t>
        </is>
      </c>
      <c r="G15" s="23" t="inlineStr">
        <is>
          <t>6 / 6 / - dBi</t>
        </is>
      </c>
      <c r="H15" s="23" t="inlineStr">
        <is>
          <t>115° / 120°</t>
        </is>
      </c>
      <c r="I15" s="23" t="inlineStr">
        <is>
          <t>70° / 60°</t>
        </is>
      </c>
      <c r="J15" s="23" t="inlineStr">
        <is>
          <t>RP-SMA Male</t>
        </is>
      </c>
      <c r="K15" s="23" t="inlineStr">
        <is>
          <t>C-230E</t>
        </is>
      </c>
      <c r="L15" s="23" t="inlineStr">
        <is>
          <t>넓은 섹터</t>
        </is>
      </c>
      <c r="M15" s="23" t="inlineStr">
        <is>
          <t>공식 Antenna Selection Guide 등재</t>
        </is>
      </c>
      <c r="N15" s="24" t="inlineStr">
        <is>
          <t>https://www.arista.com/assets/data/pdf/Datasheets/Antenna-Selection-Guide.pdf</t>
        </is>
      </c>
    </row>
    <row r="16" ht="58" customHeight="1">
      <c r="A16" s="17" t="n">
        <v>11</v>
      </c>
      <c r="B16" s="19" t="inlineStr">
        <is>
          <t>Indoor</t>
        </is>
      </c>
      <c r="C16" s="19" t="inlineStr">
        <is>
          <t>268438</t>
        </is>
      </c>
      <c r="D16" s="19" t="inlineStr"/>
      <c r="E16" s="19" t="inlineStr">
        <is>
          <t>Directional</t>
        </is>
      </c>
      <c r="F16" s="19" t="inlineStr">
        <is>
          <t>Dual-band</t>
        </is>
      </c>
      <c r="G16" s="19" t="inlineStr">
        <is>
          <t>6 / 6 / - dBi</t>
        </is>
      </c>
      <c r="H16" s="19" t="inlineStr">
        <is>
          <t>65° / 55°</t>
        </is>
      </c>
      <c r="I16" s="19" t="inlineStr">
        <is>
          <t>65° / 60°</t>
        </is>
      </c>
      <c r="J16" s="19" t="inlineStr">
        <is>
          <t>RP-SMA Male</t>
        </is>
      </c>
      <c r="K16" s="19" t="inlineStr">
        <is>
          <t>C-230E</t>
        </is>
      </c>
      <c r="L16" s="19" t="inlineStr">
        <is>
          <t>중간 빔 섹터</t>
        </is>
      </c>
      <c r="M16" s="19" t="inlineStr">
        <is>
          <t>공식 Antenna Selection Guide 등재</t>
        </is>
      </c>
      <c r="N16" s="21" t="inlineStr">
        <is>
          <t>https://www.arista.com/assets/data/pdf/Datasheets/Antenna-Selection-Guide.pdf</t>
        </is>
      </c>
    </row>
    <row r="17" ht="58" customHeight="1">
      <c r="A17" s="22" t="n">
        <v>12</v>
      </c>
      <c r="B17" s="23" t="inlineStr">
        <is>
          <t>Indoor</t>
        </is>
      </c>
      <c r="C17" s="23" t="inlineStr">
        <is>
          <t>227737</t>
        </is>
      </c>
      <c r="D17" s="23" t="inlineStr"/>
      <c r="E17" s="23" t="inlineStr">
        <is>
          <t>Directional</t>
        </is>
      </c>
      <c r="F17" s="23" t="inlineStr">
        <is>
          <t>Dual-band</t>
        </is>
      </c>
      <c r="G17" s="23" t="inlineStr">
        <is>
          <t>6 / 6 / - dBi</t>
        </is>
      </c>
      <c r="H17" s="23" t="inlineStr">
        <is>
          <t>80° / 80°</t>
        </is>
      </c>
      <c r="I17" s="23" t="inlineStr">
        <is>
          <t>90° / 90°</t>
        </is>
      </c>
      <c r="J17" s="23" t="inlineStr">
        <is>
          <t>RP-SMA Male</t>
        </is>
      </c>
      <c r="K17" s="23" t="inlineStr">
        <is>
          <t>C-230E</t>
        </is>
      </c>
      <c r="L17" s="23" t="inlineStr">
        <is>
          <t>실내 섹터</t>
        </is>
      </c>
      <c r="M17" s="23" t="inlineStr">
        <is>
          <t>공식 Antenna Selection Guide 등재</t>
        </is>
      </c>
      <c r="N17" s="24" t="inlineStr">
        <is>
          <t>https://www.arista.com/assets/data/pdf/Datasheets/Antenna-Selection-Guide.pdf</t>
        </is>
      </c>
    </row>
    <row r="18" ht="58" customHeight="1">
      <c r="A18" s="17" t="n">
        <v>13</v>
      </c>
      <c r="B18" s="19" t="inlineStr">
        <is>
          <t>Indoor</t>
        </is>
      </c>
      <c r="C18" s="19" t="inlineStr">
        <is>
          <t>544625</t>
        </is>
      </c>
      <c r="D18" s="19" t="inlineStr"/>
      <c r="E18" s="19" t="inlineStr">
        <is>
          <t>Directional</t>
        </is>
      </c>
      <c r="F18" s="19" t="inlineStr">
        <is>
          <t>Dual-band</t>
        </is>
      </c>
      <c r="G18" s="19" t="inlineStr">
        <is>
          <t>6 / 6 / - dBi</t>
        </is>
      </c>
      <c r="H18" s="19" t="inlineStr">
        <is>
          <t>80° / 45°</t>
        </is>
      </c>
      <c r="I18" s="19" t="inlineStr">
        <is>
          <t>80° / 45°</t>
        </is>
      </c>
      <c r="J18" s="19" t="inlineStr">
        <is>
          <t>RP-SMA Male</t>
        </is>
      </c>
      <c r="K18" s="19" t="inlineStr">
        <is>
          <t>C-230E</t>
        </is>
      </c>
      <c r="L18" s="19" t="inlineStr">
        <is>
          <t>대역별 최적화 섹터</t>
        </is>
      </c>
      <c r="M18" s="19" t="inlineStr">
        <is>
          <t>공식 Antenna Selection Guide 등재</t>
        </is>
      </c>
      <c r="N18" s="21" t="inlineStr">
        <is>
          <t>https://www.arista.com/assets/data/pdf/Datasheets/Antenna-Selection-Guide.pdf</t>
        </is>
      </c>
    </row>
    <row r="19" ht="58" customHeight="1">
      <c r="A19" s="22" t="n">
        <v>14</v>
      </c>
      <c r="B19" s="23" t="inlineStr">
        <is>
          <t>Indoor</t>
        </is>
      </c>
      <c r="C19" s="23" t="inlineStr">
        <is>
          <t>237129</t>
        </is>
      </c>
      <c r="D19" s="23" t="inlineStr"/>
      <c r="E19" s="23" t="inlineStr">
        <is>
          <t>Directional</t>
        </is>
      </c>
      <c r="F19" s="23" t="inlineStr">
        <is>
          <t>Dual-band</t>
        </is>
      </c>
      <c r="G19" s="23" t="inlineStr">
        <is>
          <t>8 / 8 / - dBi</t>
        </is>
      </c>
      <c r="H19" s="23" t="inlineStr">
        <is>
          <t>90° / 115°</t>
        </is>
      </c>
      <c r="I19" s="23" t="inlineStr">
        <is>
          <t>45° / 35°</t>
        </is>
      </c>
      <c r="J19" s="23" t="inlineStr">
        <is>
          <t>RP-SMA Male</t>
        </is>
      </c>
      <c r="K19" s="23" t="inlineStr">
        <is>
          <t>C-230E</t>
        </is>
      </c>
      <c r="L19" s="23" t="inlineStr">
        <is>
          <t>넓은 수평·좁은 수직 빔</t>
        </is>
      </c>
      <c r="M19" s="23" t="inlineStr">
        <is>
          <t>공식 Antenna Selection Guide 등재</t>
        </is>
      </c>
      <c r="N19" s="24" t="inlineStr">
        <is>
          <t>https://www.arista.com/assets/data/pdf/Datasheets/Antenna-Selection-Guide.pdf</t>
        </is>
      </c>
    </row>
    <row r="20" ht="58" customHeight="1">
      <c r="A20" s="17" t="n">
        <v>15</v>
      </c>
      <c r="B20" s="19" t="inlineStr">
        <is>
          <t>Indoor</t>
        </is>
      </c>
      <c r="C20" s="19" t="inlineStr">
        <is>
          <t>273329</t>
        </is>
      </c>
      <c r="D20" s="19" t="inlineStr"/>
      <c r="E20" s="19" t="inlineStr">
        <is>
          <t>Directional</t>
        </is>
      </c>
      <c r="F20" s="19" t="inlineStr">
        <is>
          <t>Dual-band</t>
        </is>
      </c>
      <c r="G20" s="19" t="inlineStr">
        <is>
          <t>8.5 / 8.5 / - dBi</t>
        </is>
      </c>
      <c r="H20" s="19" t="inlineStr">
        <is>
          <t>70° / 56°</t>
        </is>
      </c>
      <c r="I20" s="19" t="inlineStr">
        <is>
          <t>70° / 56°</t>
        </is>
      </c>
      <c r="J20" s="19" t="inlineStr">
        <is>
          <t>RP-SMA Male</t>
        </is>
      </c>
      <c r="K20" s="19" t="inlineStr">
        <is>
          <t>C-230E</t>
        </is>
      </c>
      <c r="L20" s="19" t="inlineStr">
        <is>
          <t>중고이득 섹터</t>
        </is>
      </c>
      <c r="M20" s="19" t="inlineStr">
        <is>
          <t>공식 Antenna Selection Guide 등재</t>
        </is>
      </c>
      <c r="N20" s="21" t="inlineStr">
        <is>
          <t>https://www.arista.com/assets/data/pdf/Datasheets/Antenna-Selection-Guide.pdf</t>
        </is>
      </c>
    </row>
    <row r="21" ht="58" customHeight="1">
      <c r="A21" s="22" t="n">
        <v>16</v>
      </c>
      <c r="B21" s="23" t="inlineStr">
        <is>
          <t>Indoor</t>
        </is>
      </c>
      <c r="C21" s="23" t="inlineStr">
        <is>
          <t>ATS-OO-245-46-6RPSP-36</t>
        </is>
      </c>
      <c r="D21" s="23" t="inlineStr"/>
      <c r="E21" s="23" t="inlineStr">
        <is>
          <t>Omni</t>
        </is>
      </c>
      <c r="F21" s="23" t="inlineStr">
        <is>
          <t>Dual-band</t>
        </is>
      </c>
      <c r="G21" s="23" t="inlineStr">
        <is>
          <t>4 / 6 / - dBi</t>
        </is>
      </c>
      <c r="H21" s="23" t="inlineStr">
        <is>
          <t>360° / 360°</t>
        </is>
      </c>
      <c r="I21" s="23" t="inlineStr">
        <is>
          <t>60° / 40°</t>
        </is>
      </c>
      <c r="J21" s="23" t="inlineStr">
        <is>
          <t>RP-SMA Plug</t>
        </is>
      </c>
      <c r="K21" s="23" t="inlineStr">
        <is>
          <t>C-230E</t>
        </is>
      </c>
      <c r="L21" s="23" t="inlineStr">
        <is>
          <t>실내 전방향 일반 커버리지</t>
        </is>
      </c>
      <c r="M21" s="23" t="inlineStr">
        <is>
          <t>공식 Antenna Selection Guide 등재</t>
        </is>
      </c>
      <c r="N21" s="24" t="inlineStr">
        <is>
          <t>https://www.arista.com/assets/data/pdf/Datasheets/Antenna-Selection-Guide.pdf</t>
        </is>
      </c>
    </row>
    <row r="22" ht="58" customHeight="1">
      <c r="A22" s="17" t="n">
        <v>17</v>
      </c>
      <c r="B22" s="19" t="inlineStr">
        <is>
          <t>Indoor</t>
        </is>
      </c>
      <c r="C22" s="19" t="inlineStr">
        <is>
          <t>ATS-OP-245-8-6RPSP-36</t>
        </is>
      </c>
      <c r="D22" s="19" t="inlineStr"/>
      <c r="E22" s="19" t="inlineStr">
        <is>
          <t>Directional</t>
        </is>
      </c>
      <c r="F22" s="19" t="inlineStr">
        <is>
          <t>Dual-band</t>
        </is>
      </c>
      <c r="G22" s="19" t="inlineStr">
        <is>
          <t>8 / 8 / - dBi</t>
        </is>
      </c>
      <c r="H22" s="19" t="inlineStr">
        <is>
          <t>100° / 100°</t>
        </is>
      </c>
      <c r="I22" s="19" t="inlineStr">
        <is>
          <t>40° / 25°</t>
        </is>
      </c>
      <c r="J22" s="19" t="inlineStr">
        <is>
          <t>RP-SMA Plug</t>
        </is>
      </c>
      <c r="K22" s="19" t="inlineStr">
        <is>
          <t>C-230E</t>
        </is>
      </c>
      <c r="L22" s="19" t="inlineStr">
        <is>
          <t>넓은 수평·좁은 수직 빔</t>
        </is>
      </c>
      <c r="M22" s="19" t="inlineStr">
        <is>
          <t>공식 Antenna Selection Guide 등재</t>
        </is>
      </c>
      <c r="N22" s="21" t="inlineStr">
        <is>
          <t>https://www.arista.com/assets/data/pdf/Datasheets/Antenna-Selection-Guide.pdf</t>
        </is>
      </c>
    </row>
    <row r="23" ht="58" customHeight="1">
      <c r="A23" s="22" t="n">
        <v>18</v>
      </c>
      <c r="B23" s="23" t="inlineStr">
        <is>
          <t>Indoor</t>
        </is>
      </c>
      <c r="C23" s="23" t="inlineStr">
        <is>
          <t>ATS-OP-245-13-6RPSP-36</t>
        </is>
      </c>
      <c r="D23" s="23" t="inlineStr"/>
      <c r="E23" s="23" t="inlineStr">
        <is>
          <t>Directional</t>
        </is>
      </c>
      <c r="F23" s="23" t="inlineStr">
        <is>
          <t>Dual-band</t>
        </is>
      </c>
      <c r="G23" s="23" t="inlineStr">
        <is>
          <t>13 / 13 / - dBi</t>
        </is>
      </c>
      <c r="H23" s="23" t="inlineStr">
        <is>
          <t>15° / 15°</t>
        </is>
      </c>
      <c r="I23" s="23" t="inlineStr">
        <is>
          <t>120° / 120°</t>
        </is>
      </c>
      <c r="J23" s="23" t="inlineStr">
        <is>
          <t>RP-SMA Plug</t>
        </is>
      </c>
      <c r="K23" s="23" t="inlineStr">
        <is>
          <t>C-230E</t>
        </is>
      </c>
      <c r="L23" s="23" t="inlineStr">
        <is>
          <t>매우 좁은 수평 빔/통로</t>
        </is>
      </c>
      <c r="M23" s="23" t="inlineStr">
        <is>
          <t>공식 Antenna Selection Guide 등재</t>
        </is>
      </c>
      <c r="N23" s="24" t="inlineStr">
        <is>
          <t>https://www.arista.com/assets/data/pdf/Datasheets/Antenna-Selection-Guide.pdf</t>
        </is>
      </c>
    </row>
    <row r="24" ht="58" customHeight="1">
      <c r="A24" s="17" t="n">
        <v>19</v>
      </c>
      <c r="B24" s="19" t="inlineStr">
        <is>
          <t>Indoor</t>
        </is>
      </c>
      <c r="C24" s="19" t="inlineStr">
        <is>
          <t>ATS-OP-245-7D-6RPSP-36</t>
        </is>
      </c>
      <c r="D24" s="19" t="inlineStr"/>
      <c r="E24" s="19" t="inlineStr">
        <is>
          <t>Directional</t>
        </is>
      </c>
      <c r="F24" s="19" t="inlineStr">
        <is>
          <t>Dual-band</t>
        </is>
      </c>
      <c r="G24" s="19" t="inlineStr">
        <is>
          <t>7 / 7 / - dBi</t>
        </is>
      </c>
      <c r="H24" s="19" t="inlineStr">
        <is>
          <t>60° / 60°</t>
        </is>
      </c>
      <c r="I24" s="19" t="inlineStr">
        <is>
          <t>60° / 60°</t>
        </is>
      </c>
      <c r="J24" s="19" t="inlineStr">
        <is>
          <t>RP-SMA Plug</t>
        </is>
      </c>
      <c r="K24" s="19" t="inlineStr">
        <is>
          <t>C-230E</t>
        </is>
      </c>
      <c r="L24" s="19" t="inlineStr">
        <is>
          <t>균일 섹터</t>
        </is>
      </c>
      <c r="M24" s="19" t="inlineStr">
        <is>
          <t>공식 Antenna Selection Guide 등재</t>
        </is>
      </c>
      <c r="N24" s="21" t="inlineStr">
        <is>
          <t>https://www.arista.com/assets/data/pdf/Datasheets/Antenna-Selection-Guide.pdf</t>
        </is>
      </c>
    </row>
    <row r="25" ht="58" customHeight="1">
      <c r="A25" s="22" t="n">
        <v>20</v>
      </c>
      <c r="B25" s="23" t="inlineStr">
        <is>
          <t>Indoor</t>
        </is>
      </c>
      <c r="C25" s="23" t="inlineStr">
        <is>
          <t>ATS-OP-245-7-6RPSP-36</t>
        </is>
      </c>
      <c r="D25" s="23" t="inlineStr"/>
      <c r="E25" s="23" t="inlineStr">
        <is>
          <t>Directional</t>
        </is>
      </c>
      <c r="F25" s="23" t="inlineStr">
        <is>
          <t>Dual-band</t>
        </is>
      </c>
      <c r="G25" s="23" t="inlineStr">
        <is>
          <t>7 / 6 / - dBi</t>
        </is>
      </c>
      <c r="H25" s="23" t="inlineStr">
        <is>
          <t>60° / 60°</t>
        </is>
      </c>
      <c r="I25" s="23" t="inlineStr">
        <is>
          <t>110° / 110°</t>
        </is>
      </c>
      <c r="J25" s="23" t="inlineStr">
        <is>
          <t>RP-SMA Plug</t>
        </is>
      </c>
      <c r="K25" s="23" t="inlineStr">
        <is>
          <t>C-230E</t>
        </is>
      </c>
      <c r="L25" s="23" t="inlineStr">
        <is>
          <t>좁은 수평·넓은 수직 빔</t>
        </is>
      </c>
      <c r="M25" s="23" t="inlineStr">
        <is>
          <t>공식 Antenna Selection Guide 등재</t>
        </is>
      </c>
      <c r="N25" s="24" t="inlineStr">
        <is>
          <t>https://www.arista.com/assets/data/pdf/Datasheets/Antenna-Selection-Guide.pdf</t>
        </is>
      </c>
    </row>
    <row r="26" ht="58" customHeight="1">
      <c r="A26" s="17" t="n">
        <v>21</v>
      </c>
      <c r="B26" s="19" t="inlineStr">
        <is>
          <t>Indoor</t>
        </is>
      </c>
      <c r="C26" s="19" t="inlineStr">
        <is>
          <t>ATS-OP-245-810-6RPSP-36-V2</t>
        </is>
      </c>
      <c r="D26" s="19" t="inlineStr"/>
      <c r="E26" s="19" t="inlineStr">
        <is>
          <t>Directional</t>
        </is>
      </c>
      <c r="F26" s="19" t="inlineStr">
        <is>
          <t>Dual-band</t>
        </is>
      </c>
      <c r="G26" s="19" t="inlineStr">
        <is>
          <t>8 / 10 / - dBi</t>
        </is>
      </c>
      <c r="H26" s="19" t="inlineStr">
        <is>
          <t>55° / 45°</t>
        </is>
      </c>
      <c r="I26" s="19" t="inlineStr">
        <is>
          <t>65° / 45°</t>
        </is>
      </c>
      <c r="J26" s="19" t="inlineStr">
        <is>
          <t>RP-SMA Plug</t>
        </is>
      </c>
      <c r="K26" s="19" t="inlineStr">
        <is>
          <t>C-230E</t>
        </is>
      </c>
      <c r="L26" s="19" t="inlineStr">
        <is>
          <t>중고이득 섹터</t>
        </is>
      </c>
      <c r="M26" s="19" t="inlineStr">
        <is>
          <t>공식 Antenna Selection Guide 등재</t>
        </is>
      </c>
      <c r="N26" s="21" t="inlineStr">
        <is>
          <t>https://www.arista.com/assets/data/pdf/Datasheets/Antenna-Selection-Guide.pdf</t>
        </is>
      </c>
    </row>
    <row r="27" ht="58" customHeight="1">
      <c r="A27" s="32" t="n">
        <v>22</v>
      </c>
      <c r="B27" s="33" t="inlineStr">
        <is>
          <t>Outdoor</t>
        </is>
      </c>
      <c r="C27" s="33" t="inlineStr">
        <is>
          <t>ATS-03278</t>
        </is>
      </c>
      <c r="D27" s="33" t="inlineStr"/>
      <c r="E27" s="33" t="inlineStr">
        <is>
          <t>Omni</t>
        </is>
      </c>
      <c r="F27" s="33" t="inlineStr">
        <is>
          <t>Tri-band</t>
        </is>
      </c>
      <c r="G27" s="33" t="inlineStr">
        <is>
          <t>4 / 6 / 6 dBi</t>
        </is>
      </c>
      <c r="H27" s="33" t="inlineStr">
        <is>
          <t>360°</t>
        </is>
      </c>
      <c r="I27" s="33" t="inlineStr">
        <is>
          <t>102° / 75° / 75°</t>
        </is>
      </c>
      <c r="J27" s="33" t="inlineStr">
        <is>
          <t>N-Style Plug</t>
        </is>
      </c>
      <c r="K27" s="33" t="inlineStr">
        <is>
          <t>O-435E, O-235E</t>
        </is>
      </c>
      <c r="L27" s="33" t="inlineStr">
        <is>
          <t>옥외 전방향 일반 커버리지</t>
        </is>
      </c>
      <c r="M27" s="33" t="inlineStr">
        <is>
          <t>공식 Antenna Selection Guide 등재</t>
        </is>
      </c>
      <c r="N27" s="34" t="inlineStr">
        <is>
          <t>https://www.arista.com/assets/data/pdf/Datasheets/Antenna-Selection-Guide.pdf</t>
        </is>
      </c>
    </row>
    <row r="28" ht="58" customHeight="1">
      <c r="A28" s="17" t="n">
        <v>23</v>
      </c>
      <c r="B28" s="19" t="inlineStr">
        <is>
          <t>Outdoor</t>
        </is>
      </c>
      <c r="C28" s="19" t="inlineStr">
        <is>
          <t>ATS-03280</t>
        </is>
      </c>
      <c r="D28" s="19" t="inlineStr"/>
      <c r="E28" s="19" t="inlineStr">
        <is>
          <t>Directional</t>
        </is>
      </c>
      <c r="F28" s="19" t="inlineStr">
        <is>
          <t>Tri-band</t>
        </is>
      </c>
      <c r="G28" s="19" t="inlineStr">
        <is>
          <t>4 / 7 / 7 dBi</t>
        </is>
      </c>
      <c r="H28" s="19" t="inlineStr">
        <is>
          <t>75° / 50° / 45°</t>
        </is>
      </c>
      <c r="I28" s="19" t="inlineStr">
        <is>
          <t>75° / 50° / 45°</t>
        </is>
      </c>
      <c r="J28" s="19" t="inlineStr">
        <is>
          <t>N-Style Plug</t>
        </is>
      </c>
      <c r="K28" s="19" t="inlineStr">
        <is>
          <t>O-435E, O-235E</t>
        </is>
      </c>
      <c r="L28" s="19" t="inlineStr">
        <is>
          <t>옥외 섹터/복도</t>
        </is>
      </c>
      <c r="M28" s="19" t="inlineStr">
        <is>
          <t>공식 Antenna Selection Guide 등재</t>
        </is>
      </c>
      <c r="N28" s="21" t="inlineStr">
        <is>
          <t>https://www.arista.com/assets/data/pdf/Datasheets/Antenna-Selection-Guide.pdf</t>
        </is>
      </c>
    </row>
    <row r="29" ht="58" customHeight="1">
      <c r="A29" s="22" t="n">
        <v>24</v>
      </c>
      <c r="B29" s="23" t="inlineStr">
        <is>
          <t>Outdoor</t>
        </is>
      </c>
      <c r="C29" s="23" t="inlineStr">
        <is>
          <t>ATS-03281</t>
        </is>
      </c>
      <c r="D29" s="23" t="inlineStr"/>
      <c r="E29" s="23" t="inlineStr">
        <is>
          <t>Directional</t>
        </is>
      </c>
      <c r="F29" s="23" t="inlineStr">
        <is>
          <t>Tri-band</t>
        </is>
      </c>
      <c r="G29" s="23" t="inlineStr">
        <is>
          <t>6 / 6 / 6 dBi</t>
        </is>
      </c>
      <c r="H29" s="23" t="inlineStr">
        <is>
          <t>70° / 70° / 70°</t>
        </is>
      </c>
      <c r="I29" s="23" t="inlineStr">
        <is>
          <t>70° / 70° / 70°</t>
        </is>
      </c>
      <c r="J29" s="23" t="inlineStr">
        <is>
          <t>N-Style Plug</t>
        </is>
      </c>
      <c r="K29" s="23" t="inlineStr">
        <is>
          <t>O-435E, O-235E</t>
        </is>
      </c>
      <c r="L29" s="23" t="inlineStr">
        <is>
          <t>균일 섹터</t>
        </is>
      </c>
      <c r="M29" s="23" t="inlineStr">
        <is>
          <t>공식 Antenna Selection Guide 등재</t>
        </is>
      </c>
      <c r="N29" s="24" t="inlineStr">
        <is>
          <t>https://www.arista.com/assets/data/pdf/Datasheets/Antenna-Selection-Guide.pdf</t>
        </is>
      </c>
    </row>
    <row r="30" ht="58" customHeight="1">
      <c r="A30" s="17" t="n">
        <v>25</v>
      </c>
      <c r="B30" s="19" t="inlineStr">
        <is>
          <t>Outdoor</t>
        </is>
      </c>
      <c r="C30" s="19" t="inlineStr">
        <is>
          <t>ATS-03282</t>
        </is>
      </c>
      <c r="D30" s="19" t="inlineStr"/>
      <c r="E30" s="19" t="inlineStr">
        <is>
          <t>Directional</t>
        </is>
      </c>
      <c r="F30" s="19" t="inlineStr">
        <is>
          <t>Tri-band</t>
        </is>
      </c>
      <c r="G30" s="19" t="inlineStr">
        <is>
          <t>6 / 6 / 6 dBi</t>
        </is>
      </c>
      <c r="H30" s="19" t="inlineStr">
        <is>
          <t>105° / 105° / 105°</t>
        </is>
      </c>
      <c r="I30" s="19" t="inlineStr">
        <is>
          <t>85° / 60° / 50°</t>
        </is>
      </c>
      <c r="J30" s="19" t="inlineStr">
        <is>
          <t>N-Style Plug</t>
        </is>
      </c>
      <c r="K30" s="19" t="inlineStr">
        <is>
          <t>O-435E, O-235E</t>
        </is>
      </c>
      <c r="L30" s="19" t="inlineStr">
        <is>
          <t>넓은 옥외 섹터</t>
        </is>
      </c>
      <c r="M30" s="19" t="inlineStr">
        <is>
          <t>공식 Antenna Selection Guide 등재</t>
        </is>
      </c>
      <c r="N30" s="21" t="inlineStr">
        <is>
          <t>https://www.arista.com/assets/data/pdf/Datasheets/Antenna-Selection-Guide.pdf</t>
        </is>
      </c>
    </row>
    <row r="31" ht="58" customHeight="1">
      <c r="A31" s="22" t="n">
        <v>26</v>
      </c>
      <c r="B31" s="23" t="inlineStr">
        <is>
          <t>Outdoor</t>
        </is>
      </c>
      <c r="C31" s="23" t="inlineStr">
        <is>
          <t>ATS-03283</t>
        </is>
      </c>
      <c r="D31" s="23" t="inlineStr"/>
      <c r="E31" s="23" t="inlineStr">
        <is>
          <t>Directional</t>
        </is>
      </c>
      <c r="F31" s="23" t="inlineStr">
        <is>
          <t>Tri-band</t>
        </is>
      </c>
      <c r="G31" s="23" t="inlineStr">
        <is>
          <t>8 / 8 / 8 dBi</t>
        </is>
      </c>
      <c r="H31" s="23" t="inlineStr">
        <is>
          <t>115° / 110° / 110°</t>
        </is>
      </c>
      <c r="I31" s="23" t="inlineStr">
        <is>
          <t>50° / 25° / 25°</t>
        </is>
      </c>
      <c r="J31" s="23" t="inlineStr">
        <is>
          <t>N-Style Plug</t>
        </is>
      </c>
      <c r="K31" s="23" t="inlineStr">
        <is>
          <t>O-435E, O-235E</t>
        </is>
      </c>
      <c r="L31" s="23" t="inlineStr">
        <is>
          <t>넓은 수평·좁은 수직</t>
        </is>
      </c>
      <c r="M31" s="23" t="inlineStr">
        <is>
          <t>공식 Antenna Selection Guide 등재</t>
        </is>
      </c>
      <c r="N31" s="24" t="inlineStr">
        <is>
          <t>https://www.arista.com/assets/data/pdf/Datasheets/Antenna-Selection-Guide.pdf</t>
        </is>
      </c>
    </row>
    <row r="32" ht="58" customHeight="1">
      <c r="A32" s="17" t="n">
        <v>27</v>
      </c>
      <c r="B32" s="19" t="inlineStr">
        <is>
          <t>Outdoor</t>
        </is>
      </c>
      <c r="C32" s="19" t="inlineStr">
        <is>
          <t>ATS-03262</t>
        </is>
      </c>
      <c r="D32" s="19" t="inlineStr"/>
      <c r="E32" s="19" t="inlineStr">
        <is>
          <t>Directional</t>
        </is>
      </c>
      <c r="F32" s="19" t="inlineStr">
        <is>
          <t>Tri-band</t>
        </is>
      </c>
      <c r="G32" s="19" t="inlineStr">
        <is>
          <t>8 / 10 / 10 dBi</t>
        </is>
      </c>
      <c r="H32" s="19" t="inlineStr">
        <is>
          <t>65° / 45° / 40°</t>
        </is>
      </c>
      <c r="I32" s="19" t="inlineStr">
        <is>
          <t>65° / 45° / 40°</t>
        </is>
      </c>
      <c r="J32" s="19" t="inlineStr">
        <is>
          <t>N-Style Plug</t>
        </is>
      </c>
      <c r="K32" s="19" t="inlineStr">
        <is>
          <t>O-435E, O-235E</t>
        </is>
      </c>
      <c r="L32" s="19" t="inlineStr">
        <is>
          <t>중고이득 옥외 섹터</t>
        </is>
      </c>
      <c r="M32" s="19" t="inlineStr">
        <is>
          <t>공식 Antenna Selection Guide 등재</t>
        </is>
      </c>
      <c r="N32" s="21" t="inlineStr">
        <is>
          <t>https://www.arista.com/assets/data/pdf/Datasheets/Antenna-Selection-Guide.pdf</t>
        </is>
      </c>
    </row>
    <row r="33" ht="58" customHeight="1">
      <c r="A33" s="22" t="n">
        <v>28</v>
      </c>
      <c r="B33" s="23" t="inlineStr">
        <is>
          <t>Outdoor</t>
        </is>
      </c>
      <c r="C33" s="23" t="inlineStr">
        <is>
          <t>ATS-03279</t>
        </is>
      </c>
      <c r="D33" s="23" t="inlineStr"/>
      <c r="E33" s="23" t="inlineStr">
        <is>
          <t>Directional</t>
        </is>
      </c>
      <c r="F33" s="23" t="inlineStr">
        <is>
          <t>Tri-band</t>
        </is>
      </c>
      <c r="G33" s="23" t="inlineStr">
        <is>
          <t>9 / 11 / 10 dBi</t>
        </is>
      </c>
      <c r="H33" s="23" t="inlineStr">
        <is>
          <t>30° / 15° / 12°</t>
        </is>
      </c>
      <c r="I33" s="23" t="inlineStr">
        <is>
          <t>120° / 110° / 110°</t>
        </is>
      </c>
      <c r="J33" s="23" t="inlineStr">
        <is>
          <t>N-Style Plug</t>
        </is>
      </c>
      <c r="K33" s="23" t="inlineStr">
        <is>
          <t>O-435E, O-235E</t>
        </is>
      </c>
      <c r="L33" s="23" t="inlineStr">
        <is>
          <t>좁은 수평 빔/거리 확장</t>
        </is>
      </c>
      <c r="M33" s="23" t="inlineStr">
        <is>
          <t>공식 Antenna Selection Guide 등재</t>
        </is>
      </c>
      <c r="N33" s="24" t="inlineStr">
        <is>
          <t>https://www.arista.com/assets/data/pdf/Datasheets/Antenna-Selection-Guide.pdf</t>
        </is>
      </c>
    </row>
    <row r="34" ht="58" customHeight="1">
      <c r="A34" s="17" t="n">
        <v>29</v>
      </c>
      <c r="B34" s="19" t="inlineStr">
        <is>
          <t>Outdoor</t>
        </is>
      </c>
      <c r="C34" s="19" t="inlineStr">
        <is>
          <t>ATS-03412</t>
        </is>
      </c>
      <c r="D34" s="19" t="inlineStr"/>
      <c r="E34" s="19" t="inlineStr">
        <is>
          <t>Directional</t>
        </is>
      </c>
      <c r="F34" s="19" t="inlineStr">
        <is>
          <t>Tri-band</t>
        </is>
      </c>
      <c r="G34" s="19" t="inlineStr">
        <is>
          <t>13 / 15 / 15 dBi</t>
        </is>
      </c>
      <c r="H34" s="19" t="inlineStr">
        <is>
          <t>25° / 20° / 20°</t>
        </is>
      </c>
      <c r="I34" s="19" t="inlineStr">
        <is>
          <t>25° / 20° / 20°</t>
        </is>
      </c>
      <c r="J34" s="19" t="inlineStr">
        <is>
          <t>N-Style Plug</t>
        </is>
      </c>
      <c r="K34" s="19" t="inlineStr">
        <is>
          <t>O-435E, O-235E</t>
        </is>
      </c>
      <c r="L34" s="19" t="inlineStr">
        <is>
          <t>고이득 좁은 빔; 전문 RF 설계</t>
        </is>
      </c>
      <c r="M34" s="19" t="inlineStr">
        <is>
          <t>공식 Antenna Selection Guide 등재</t>
        </is>
      </c>
      <c r="N34" s="21" t="inlineStr">
        <is>
          <t>https://www.arista.com/assets/data/pdf/Datasheets/Antenna-Selection-Guide.pdf</t>
        </is>
      </c>
    </row>
    <row r="35" ht="58" customHeight="1">
      <c r="A35" s="22" t="n">
        <v>30</v>
      </c>
      <c r="B35" s="23" t="inlineStr">
        <is>
          <t>Outdoor</t>
        </is>
      </c>
      <c r="C35" s="23" t="inlineStr">
        <is>
          <t>607904</t>
        </is>
      </c>
      <c r="D35" s="23" t="inlineStr"/>
      <c r="E35" s="23" t="inlineStr">
        <is>
          <t>Directional</t>
        </is>
      </c>
      <c r="F35" s="23" t="inlineStr">
        <is>
          <t>Tri-band</t>
        </is>
      </c>
      <c r="G35" s="23" t="inlineStr">
        <is>
          <t>6 / 6 / 6 dBi</t>
        </is>
      </c>
      <c r="H35" s="23" t="inlineStr">
        <is>
          <t>80° / 120°</t>
        </is>
      </c>
      <c r="I35" s="23" t="inlineStr">
        <is>
          <t>80° / 50°</t>
        </is>
      </c>
      <c r="J35" s="23" t="inlineStr">
        <is>
          <t>N Male</t>
        </is>
      </c>
      <c r="K35" s="23" t="inlineStr">
        <is>
          <t>O-435E, O-235E</t>
        </is>
      </c>
      <c r="L35" s="23" t="inlineStr">
        <is>
          <t>옥외 넓은 섹터</t>
        </is>
      </c>
      <c r="M35" s="23" t="inlineStr">
        <is>
          <t>공식 Antenna Selection Guide 등재</t>
        </is>
      </c>
      <c r="N35" s="24" t="inlineStr">
        <is>
          <t>https://www.arista.com/assets/data/pdf/Datasheets/Antenna-Selection-Guide.pdf</t>
        </is>
      </c>
    </row>
    <row r="36" ht="58" customHeight="1">
      <c r="A36" s="17" t="n">
        <v>31</v>
      </c>
      <c r="B36" s="19" t="inlineStr">
        <is>
          <t>Outdoor</t>
        </is>
      </c>
      <c r="C36" s="19" t="inlineStr">
        <is>
          <t>298003</t>
        </is>
      </c>
      <c r="D36" s="19" t="inlineStr"/>
      <c r="E36" s="19" t="inlineStr">
        <is>
          <t>Directional</t>
        </is>
      </c>
      <c r="F36" s="19" t="inlineStr">
        <is>
          <t>Dual-band</t>
        </is>
      </c>
      <c r="G36" s="19" t="inlineStr">
        <is>
          <t>13 / 13 / - dBi</t>
        </is>
      </c>
      <c r="H36" s="19" t="inlineStr">
        <is>
          <t>35° / 30°</t>
        </is>
      </c>
      <c r="I36" s="19" t="inlineStr">
        <is>
          <t>35° / 30°</t>
        </is>
      </c>
      <c r="J36" s="19" t="inlineStr">
        <is>
          <t>N Male</t>
        </is>
      </c>
      <c r="K36" s="19" t="inlineStr">
        <is>
          <t>O-235E</t>
        </is>
      </c>
      <c r="L36" s="19" t="inlineStr">
        <is>
          <t>고이득 지향성/거리 확장</t>
        </is>
      </c>
      <c r="M36" s="19" t="inlineStr">
        <is>
          <t>공식 Antenna Selection Guide 등재</t>
        </is>
      </c>
      <c r="N36" s="21" t="inlineStr">
        <is>
          <t>https://www.arista.com/assets/data/pdf/Datasheets/Antenna-Selection-Guide.pdf</t>
        </is>
      </c>
    </row>
    <row r="37" ht="58" customHeight="1">
      <c r="A37" s="22" t="n">
        <v>32</v>
      </c>
      <c r="B37" s="23" t="inlineStr">
        <is>
          <t>Outdoor</t>
        </is>
      </c>
      <c r="C37" s="23" t="inlineStr">
        <is>
          <t>523996</t>
        </is>
      </c>
      <c r="D37" s="23" t="inlineStr"/>
      <c r="E37" s="23" t="inlineStr">
        <is>
          <t>Directional</t>
        </is>
      </c>
      <c r="F37" s="23" t="inlineStr">
        <is>
          <t>Dual-band</t>
        </is>
      </c>
      <c r="G37" s="23" t="inlineStr">
        <is>
          <t>6 / 6 / - dBi</t>
        </is>
      </c>
      <c r="H37" s="23" t="inlineStr">
        <is>
          <t>80° / 45°</t>
        </is>
      </c>
      <c r="I37" s="23" t="inlineStr">
        <is>
          <t>80° / 45°</t>
        </is>
      </c>
      <c r="J37" s="23" t="inlineStr">
        <is>
          <t>N-Style</t>
        </is>
      </c>
      <c r="K37" s="23" t="inlineStr">
        <is>
          <t>O-235E</t>
        </is>
      </c>
      <c r="L37" s="23" t="inlineStr">
        <is>
          <t>옥외 섹터</t>
        </is>
      </c>
      <c r="M37" s="23" t="inlineStr">
        <is>
          <t>공식 Antenna Selection Guide 등재</t>
        </is>
      </c>
      <c r="N37" s="24" t="inlineStr">
        <is>
          <t>https://www.arista.com/assets/data/pdf/Datasheets/Antenna-Selection-Guide.pdf</t>
        </is>
      </c>
    </row>
    <row r="38" ht="58" customHeight="1">
      <c r="A38" s="17" t="n">
        <v>33</v>
      </c>
      <c r="B38" s="19" t="inlineStr">
        <is>
          <t>Outdoor</t>
        </is>
      </c>
      <c r="C38" s="19" t="inlineStr">
        <is>
          <t>ATS-01050</t>
        </is>
      </c>
      <c r="D38" s="19" t="inlineStr">
        <is>
          <t>ATS-OO-245-46-6NP-36</t>
        </is>
      </c>
      <c r="E38" s="19" t="inlineStr">
        <is>
          <t>Omni</t>
        </is>
      </c>
      <c r="F38" s="19" t="inlineStr">
        <is>
          <t>Dual-band</t>
        </is>
      </c>
      <c r="G38" s="19" t="inlineStr">
        <is>
          <t>4 / 6 / - dBi</t>
        </is>
      </c>
      <c r="H38" s="19" t="inlineStr">
        <is>
          <t>360° / 360°</t>
        </is>
      </c>
      <c r="I38" s="19" t="inlineStr">
        <is>
          <t>60° / 40°</t>
        </is>
      </c>
      <c r="J38" s="19" t="inlineStr">
        <is>
          <t>N-Style</t>
        </is>
      </c>
      <c r="K38" s="19" t="inlineStr">
        <is>
          <t>O-235E</t>
        </is>
      </c>
      <c r="L38" s="19" t="inlineStr">
        <is>
          <t>옥외 전방향 일반 커버리지</t>
        </is>
      </c>
      <c r="M38" s="19" t="inlineStr">
        <is>
          <t>공식 Antenna Selection Guide 등재</t>
        </is>
      </c>
      <c r="N38" s="21" t="inlineStr">
        <is>
          <t>https://www.arista.com/assets/data/pdf/Datasheets/Antenna-Selection-Guide.pdf</t>
        </is>
      </c>
    </row>
    <row r="39" ht="58" customHeight="1">
      <c r="A39" s="22" t="n">
        <v>34</v>
      </c>
      <c r="B39" s="23" t="inlineStr">
        <is>
          <t>Outdoor</t>
        </is>
      </c>
      <c r="C39" s="23" t="inlineStr">
        <is>
          <t>ATS-01022</t>
        </is>
      </c>
      <c r="D39" s="23" t="inlineStr">
        <is>
          <t>ATS-OHDP-245-1312-6NJ-IC</t>
        </is>
      </c>
      <c r="E39" s="23" t="inlineStr">
        <is>
          <t>Directional</t>
        </is>
      </c>
      <c r="F39" s="23" t="inlineStr">
        <is>
          <t>Dual-band</t>
        </is>
      </c>
      <c r="G39" s="23" t="inlineStr">
        <is>
          <t>13 / 12 / - dBi</t>
        </is>
      </c>
      <c r="H39" s="23" t="inlineStr">
        <is>
          <t>30° / 30°</t>
        </is>
      </c>
      <c r="I39" s="23" t="inlineStr">
        <is>
          <t>30° / 30°</t>
        </is>
      </c>
      <c r="J39" s="23" t="inlineStr">
        <is>
          <t>N-Style</t>
        </is>
      </c>
      <c r="K39" s="23" t="inlineStr">
        <is>
          <t>O-235E</t>
        </is>
      </c>
      <c r="L39" s="23" t="inlineStr">
        <is>
          <t>고이득 좁은 빔</t>
        </is>
      </c>
      <c r="M39" s="23" t="inlineStr">
        <is>
          <t>공식 Antenna Selection Guide 등재</t>
        </is>
      </c>
      <c r="N39" s="24" t="inlineStr">
        <is>
          <t>https://www.arista.com/assets/data/pdf/Datasheets/Antenna-Selection-Guide.pdf</t>
        </is>
      </c>
    </row>
    <row r="40" ht="58" customHeight="1">
      <c r="A40" s="17" t="n">
        <v>35</v>
      </c>
      <c r="B40" s="19" t="inlineStr">
        <is>
          <t>Outdoor</t>
        </is>
      </c>
      <c r="C40" s="19" t="inlineStr">
        <is>
          <t>ATS-01091</t>
        </is>
      </c>
      <c r="D40" s="19" t="inlineStr">
        <is>
          <t>ATS-OP-245-13-6NP-36</t>
        </is>
      </c>
      <c r="E40" s="19" t="inlineStr">
        <is>
          <t>Directional</t>
        </is>
      </c>
      <c r="F40" s="19" t="inlineStr">
        <is>
          <t>Dual-band</t>
        </is>
      </c>
      <c r="G40" s="19" t="inlineStr">
        <is>
          <t>13 / 13 / - dBi</t>
        </is>
      </c>
      <c r="H40" s="19" t="inlineStr">
        <is>
          <t>15° / 15°</t>
        </is>
      </c>
      <c r="I40" s="19" t="inlineStr">
        <is>
          <t>120° / 120°</t>
        </is>
      </c>
      <c r="J40" s="19" t="inlineStr">
        <is>
          <t>N-Style</t>
        </is>
      </c>
      <c r="K40" s="19" t="inlineStr">
        <is>
          <t>O-235E</t>
        </is>
      </c>
      <c r="L40" s="19" t="inlineStr">
        <is>
          <t>매우 좁은 수평 빔</t>
        </is>
      </c>
      <c r="M40" s="19" t="inlineStr">
        <is>
          <t>공식 Antenna Selection Guide 등재</t>
        </is>
      </c>
      <c r="N40" s="21" t="inlineStr">
        <is>
          <t>https://www.arista.com/assets/data/pdf/Datasheets/Antenna-Selection-Guide.pdf</t>
        </is>
      </c>
    </row>
    <row r="41" ht="58" customHeight="1">
      <c r="A41" s="22" t="n">
        <v>36</v>
      </c>
      <c r="B41" s="23" t="inlineStr">
        <is>
          <t>Outdoor</t>
        </is>
      </c>
      <c r="C41" s="23" t="inlineStr">
        <is>
          <t>ATS-02754</t>
        </is>
      </c>
      <c r="D41" s="23" t="inlineStr">
        <is>
          <t>ATS-OHDP-245-42-6NP-36</t>
        </is>
      </c>
      <c r="E41" s="23" t="inlineStr">
        <is>
          <t>Directional</t>
        </is>
      </c>
      <c r="F41" s="23" t="inlineStr">
        <is>
          <t>Dual-band</t>
        </is>
      </c>
      <c r="G41" s="23" t="inlineStr">
        <is>
          <t>4 / 2 / - dBi</t>
        </is>
      </c>
      <c r="H41" s="23" t="inlineStr">
        <is>
          <t>90° / 90°</t>
        </is>
      </c>
      <c r="I41" s="23" t="inlineStr">
        <is>
          <t>80° / 90°</t>
        </is>
      </c>
      <c r="J41" s="23" t="inlineStr">
        <is>
          <t>N-Style</t>
        </is>
      </c>
      <c r="K41" s="23" t="inlineStr">
        <is>
          <t>O-235E</t>
        </is>
      </c>
      <c r="L41" s="23" t="inlineStr">
        <is>
          <t>저이득 넓은 섹터</t>
        </is>
      </c>
      <c r="M41" s="23" t="inlineStr">
        <is>
          <t>공식 Antenna Selection Guide 등재</t>
        </is>
      </c>
      <c r="N41" s="24" t="inlineStr">
        <is>
          <t>https://www.arista.com/assets/data/pdf/Datasheets/Antenna-Selection-Guide.pdf</t>
        </is>
      </c>
    </row>
    <row r="42" ht="58" customHeight="1">
      <c r="A42" s="17" t="n">
        <v>37</v>
      </c>
      <c r="B42" s="19" t="inlineStr">
        <is>
          <t>Outdoor</t>
        </is>
      </c>
      <c r="C42" s="19" t="inlineStr">
        <is>
          <t>ATS-01112</t>
        </is>
      </c>
      <c r="D42" s="19" t="inlineStr">
        <is>
          <t>ATS-OP-245-7-6NP-36</t>
        </is>
      </c>
      <c r="E42" s="19" t="inlineStr">
        <is>
          <t>Directional</t>
        </is>
      </c>
      <c r="F42" s="19" t="inlineStr">
        <is>
          <t>Dual-band</t>
        </is>
      </c>
      <c r="G42" s="19" t="inlineStr">
        <is>
          <t>7 / 7 / - dBi</t>
        </is>
      </c>
      <c r="H42" s="19" t="inlineStr">
        <is>
          <t>100° / 110°</t>
        </is>
      </c>
      <c r="I42" s="19" t="inlineStr">
        <is>
          <t>60° / 60°</t>
        </is>
      </c>
      <c r="J42" s="19" t="inlineStr">
        <is>
          <t>N-Style</t>
        </is>
      </c>
      <c r="K42" s="19" t="inlineStr">
        <is>
          <t>O-235E</t>
        </is>
      </c>
      <c r="L42" s="19" t="inlineStr">
        <is>
          <t>넓은 옥외 섹터</t>
        </is>
      </c>
      <c r="M42" s="19" t="inlineStr">
        <is>
          <t>공식 Antenna Selection Guide 등재</t>
        </is>
      </c>
      <c r="N42" s="21" t="inlineStr">
        <is>
          <t>https://www.arista.com/assets/data/pdf/Datasheets/Antenna-Selection-Guide.pdf</t>
        </is>
      </c>
    </row>
    <row r="43" ht="58" customHeight="1">
      <c r="A43" s="22" t="n">
        <v>38</v>
      </c>
      <c r="B43" s="23" t="inlineStr">
        <is>
          <t>Outdoor</t>
        </is>
      </c>
      <c r="C43" s="23" t="inlineStr">
        <is>
          <t>ATS-03022</t>
        </is>
      </c>
      <c r="D43" s="23" t="inlineStr">
        <is>
          <t>ATS-OP-245-810-6NP-36-V2</t>
        </is>
      </c>
      <c r="E43" s="23" t="inlineStr">
        <is>
          <t>Directional</t>
        </is>
      </c>
      <c r="F43" s="23" t="inlineStr">
        <is>
          <t>Dual-band</t>
        </is>
      </c>
      <c r="G43" s="23" t="inlineStr">
        <is>
          <t>8 / 10 / - dBi</t>
        </is>
      </c>
      <c r="H43" s="23" t="inlineStr">
        <is>
          <t>55° / 45°</t>
        </is>
      </c>
      <c r="I43" s="23" t="inlineStr">
        <is>
          <t>65° / 45°</t>
        </is>
      </c>
      <c r="J43" s="23" t="inlineStr">
        <is>
          <t>N-Style</t>
        </is>
      </c>
      <c r="K43" s="23" t="inlineStr">
        <is>
          <t>O-235E</t>
        </is>
      </c>
      <c r="L43" s="23" t="inlineStr">
        <is>
          <t>중고이득 섹터</t>
        </is>
      </c>
      <c r="M43" s="23" t="inlineStr">
        <is>
          <t>공식 Antenna Selection Guide 등재</t>
        </is>
      </c>
      <c r="N43" s="24" t="inlineStr">
        <is>
          <t>https://www.arista.com/assets/data/pdf/Datasheets/Antenna-Selection-Guide.pdf</t>
        </is>
      </c>
    </row>
    <row r="44" ht="58" customHeight="1">
      <c r="A44" s="17" t="n">
        <v>39</v>
      </c>
      <c r="B44" s="19" t="inlineStr">
        <is>
          <t>Outdoor</t>
        </is>
      </c>
      <c r="C44" s="19" t="inlineStr">
        <is>
          <t>ATS-01126</t>
        </is>
      </c>
      <c r="D44" s="19" t="inlineStr">
        <is>
          <t>ATS-OP-245-8-6NP-36</t>
        </is>
      </c>
      <c r="E44" s="19" t="inlineStr">
        <is>
          <t>Directional</t>
        </is>
      </c>
      <c r="F44" s="19" t="inlineStr">
        <is>
          <t>Dual-band</t>
        </is>
      </c>
      <c r="G44" s="19" t="inlineStr">
        <is>
          <t>8 / 8 / - dBi</t>
        </is>
      </c>
      <c r="H44" s="19" t="inlineStr">
        <is>
          <t>100° / 100°</t>
        </is>
      </c>
      <c r="I44" s="19" t="inlineStr">
        <is>
          <t>40° / 25°</t>
        </is>
      </c>
      <c r="J44" s="19" t="inlineStr">
        <is>
          <t>N-Style</t>
        </is>
      </c>
      <c r="K44" s="19" t="inlineStr">
        <is>
          <t>O-235E</t>
        </is>
      </c>
      <c r="L44" s="19" t="inlineStr">
        <is>
          <t>넓은 수평·좁은 수직</t>
        </is>
      </c>
      <c r="M44" s="19" t="inlineStr">
        <is>
          <t>공식 Antenna Selection Guide 등재</t>
        </is>
      </c>
      <c r="N44" s="21" t="inlineStr">
        <is>
          <t>https://www.arista.com/assets/data/pdf/Datasheets/Antenna-Selection-Guide.pdf</t>
        </is>
      </c>
    </row>
  </sheetData>
  <autoFilter ref="A5:N44"/>
  <mergeCells count="3">
    <mergeCell ref="A3:N3"/>
    <mergeCell ref="A2:N2"/>
    <mergeCell ref="A1:N1"/>
  </mergeCells>
  <hyperlinks>
    <hyperlink xmlns:r="http://schemas.openxmlformats.org/officeDocument/2006/relationships" ref="N6" r:id="rId1"/>
    <hyperlink xmlns:r="http://schemas.openxmlformats.org/officeDocument/2006/relationships" ref="N7" r:id="rId2"/>
    <hyperlink xmlns:r="http://schemas.openxmlformats.org/officeDocument/2006/relationships" ref="N8" r:id="rId3"/>
    <hyperlink xmlns:r="http://schemas.openxmlformats.org/officeDocument/2006/relationships" ref="N9" r:id="rId4"/>
    <hyperlink xmlns:r="http://schemas.openxmlformats.org/officeDocument/2006/relationships" ref="N10" r:id="rId5"/>
    <hyperlink xmlns:r="http://schemas.openxmlformats.org/officeDocument/2006/relationships" ref="N11" r:id="rId6"/>
    <hyperlink xmlns:r="http://schemas.openxmlformats.org/officeDocument/2006/relationships" ref="N12" r:id="rId7"/>
    <hyperlink xmlns:r="http://schemas.openxmlformats.org/officeDocument/2006/relationships" ref="N13" r:id="rId8"/>
    <hyperlink xmlns:r="http://schemas.openxmlformats.org/officeDocument/2006/relationships" ref="N14" r:id="rId9"/>
    <hyperlink xmlns:r="http://schemas.openxmlformats.org/officeDocument/2006/relationships" ref="N15" r:id="rId10"/>
    <hyperlink xmlns:r="http://schemas.openxmlformats.org/officeDocument/2006/relationships" ref="N16" r:id="rId11"/>
    <hyperlink xmlns:r="http://schemas.openxmlformats.org/officeDocument/2006/relationships" ref="N17" r:id="rId12"/>
    <hyperlink xmlns:r="http://schemas.openxmlformats.org/officeDocument/2006/relationships" ref="N18" r:id="rId13"/>
    <hyperlink xmlns:r="http://schemas.openxmlformats.org/officeDocument/2006/relationships" ref="N19" r:id="rId14"/>
    <hyperlink xmlns:r="http://schemas.openxmlformats.org/officeDocument/2006/relationships" ref="N20" r:id="rId15"/>
    <hyperlink xmlns:r="http://schemas.openxmlformats.org/officeDocument/2006/relationships" ref="N21" r:id="rId16"/>
    <hyperlink xmlns:r="http://schemas.openxmlformats.org/officeDocument/2006/relationships" ref="N22" r:id="rId17"/>
    <hyperlink xmlns:r="http://schemas.openxmlformats.org/officeDocument/2006/relationships" ref="N23" r:id="rId18"/>
    <hyperlink xmlns:r="http://schemas.openxmlformats.org/officeDocument/2006/relationships" ref="N24" r:id="rId19"/>
    <hyperlink xmlns:r="http://schemas.openxmlformats.org/officeDocument/2006/relationships" ref="N25" r:id="rId20"/>
    <hyperlink xmlns:r="http://schemas.openxmlformats.org/officeDocument/2006/relationships" ref="N26" r:id="rId21"/>
    <hyperlink xmlns:r="http://schemas.openxmlformats.org/officeDocument/2006/relationships" ref="N27" r:id="rId22"/>
    <hyperlink xmlns:r="http://schemas.openxmlformats.org/officeDocument/2006/relationships" ref="N28" r:id="rId23"/>
    <hyperlink xmlns:r="http://schemas.openxmlformats.org/officeDocument/2006/relationships" ref="N29" r:id="rId24"/>
    <hyperlink xmlns:r="http://schemas.openxmlformats.org/officeDocument/2006/relationships" ref="N30" r:id="rId25"/>
    <hyperlink xmlns:r="http://schemas.openxmlformats.org/officeDocument/2006/relationships" ref="N31" r:id="rId26"/>
    <hyperlink xmlns:r="http://schemas.openxmlformats.org/officeDocument/2006/relationships" ref="N32" r:id="rId27"/>
    <hyperlink xmlns:r="http://schemas.openxmlformats.org/officeDocument/2006/relationships" ref="N33" r:id="rId28"/>
    <hyperlink xmlns:r="http://schemas.openxmlformats.org/officeDocument/2006/relationships" ref="N34" r:id="rId29"/>
    <hyperlink xmlns:r="http://schemas.openxmlformats.org/officeDocument/2006/relationships" ref="N35" r:id="rId30"/>
    <hyperlink xmlns:r="http://schemas.openxmlformats.org/officeDocument/2006/relationships" ref="N36" r:id="rId31"/>
    <hyperlink xmlns:r="http://schemas.openxmlformats.org/officeDocument/2006/relationships" ref="N37" r:id="rId32"/>
    <hyperlink xmlns:r="http://schemas.openxmlformats.org/officeDocument/2006/relationships" ref="N38" r:id="rId33"/>
    <hyperlink xmlns:r="http://schemas.openxmlformats.org/officeDocument/2006/relationships" ref="N39" r:id="rId34"/>
    <hyperlink xmlns:r="http://schemas.openxmlformats.org/officeDocument/2006/relationships" ref="N40" r:id="rId35"/>
    <hyperlink xmlns:r="http://schemas.openxmlformats.org/officeDocument/2006/relationships" ref="N41" r:id="rId36"/>
    <hyperlink xmlns:r="http://schemas.openxmlformats.org/officeDocument/2006/relationships" ref="N42" r:id="rId37"/>
    <hyperlink xmlns:r="http://schemas.openxmlformats.org/officeDocument/2006/relationships" ref="N43" r:id="rId38"/>
    <hyperlink xmlns:r="http://schemas.openxmlformats.org/officeDocument/2006/relationships" ref="N44" r:id="rId39"/>
  </hyperlinks>
  <pageMargins left="0.25" right="0.25" top="0.5" bottom="0.5" header="0.5" footer="0.5"/>
  <pageSetup orientation="landscape" fitToHeight="0" fitToWidth="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0F6B78"/>
    <outlinePr summaryBelow="1" summaryRight="1"/>
    <pageSetUpPr fitToPage="1"/>
  </sheetPr>
  <dimension ref="A1:J75"/>
  <sheetViews>
    <sheetView showGridLines="0" zoomScale="8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38" customWidth="1" min="4" max="4"/>
    <col width="20" customWidth="1" min="5" max="5"/>
    <col width="70" customWidth="1" min="6" max="6"/>
    <col width="58" customWidth="1" min="7" max="7"/>
    <col width="30" customWidth="1" min="8" max="8"/>
    <col width="14" customWidth="1" min="9" max="9"/>
    <col width="46" customWidth="1" min="10" max="10"/>
  </cols>
  <sheetData>
    <row r="1" ht="30" customHeight="1">
      <c r="A1" s="1" t="inlineStr">
        <is>
          <t>Arista 공식 데이터시트 및 참조 문서 목록</t>
        </is>
      </c>
    </row>
    <row r="2" ht="22" customHeight="1">
      <c r="A2" s="14" t="inlineStr">
        <is>
          <t>본 통합본 작성에 사용한 공식 PDF·제품 페이지 | 검토 기준일 2026-09-08</t>
        </is>
      </c>
    </row>
    <row r="3" ht="35" customHeight="1">
      <c r="A3" s="15" t="inlineStr">
        <is>
          <t>각 URL은 Arista 공식 도메인 원문입니다. 문서 개정일과 파일명은 공급사 업데이트에 따라 변경될 수 있습니다.</t>
        </is>
      </c>
    </row>
    <row r="4"/>
    <row r="5" ht="42" customHeight="1">
      <c r="A5" s="16" t="inlineStr">
        <is>
          <t>No</t>
        </is>
      </c>
      <c r="B5" s="16" t="inlineStr">
        <is>
          <t>구분</t>
        </is>
      </c>
      <c r="C5" s="16" t="inlineStr">
        <is>
          <t>제품군</t>
        </is>
      </c>
      <c r="D5" s="16" t="inlineStr">
        <is>
          <t>문서명</t>
        </is>
      </c>
      <c r="E5" s="16" t="inlineStr">
        <is>
          <t>문서 유형</t>
        </is>
      </c>
      <c r="F5" s="16" t="inlineStr">
        <is>
          <t>공식 URL</t>
        </is>
      </c>
      <c r="G5" s="16" t="inlineStr">
        <is>
          <t>적용 범위/모델</t>
        </is>
      </c>
      <c r="H5" s="16" t="inlineStr">
        <is>
          <t>상태</t>
        </is>
      </c>
      <c r="I5" s="16" t="inlineStr">
        <is>
          <t>검토일</t>
        </is>
      </c>
      <c r="J5" s="16" t="inlineStr">
        <is>
          <t>비고</t>
        </is>
      </c>
    </row>
    <row r="6" ht="62" customHeight="1">
      <c r="A6" s="17" t="n">
        <v>1</v>
      </c>
      <c r="B6" s="19" t="inlineStr">
        <is>
          <t>유선 스위치</t>
        </is>
      </c>
      <c r="C6" s="19" t="inlineStr">
        <is>
          <t>7800R4</t>
        </is>
      </c>
      <c r="D6" s="19" t="inlineStr">
        <is>
          <t>Arista 7800R4 Datasheet</t>
        </is>
      </c>
      <c r="E6" s="19" t="inlineStr">
        <is>
          <t>Datasheet</t>
        </is>
      </c>
      <c r="F6" s="21" t="inlineStr">
        <is>
          <t>https://www.arista.com/assets/data/pdf/Datasheets/7800R4-Series-AI-Spine-Datasheet.pdf</t>
        </is>
      </c>
      <c r="G6" s="19" t="inlineStr">
        <is>
          <t>7816LR4, 7812R4, 7808R4, 7804R4</t>
        </is>
      </c>
      <c r="H6" s="19" t="inlineStr">
        <is>
          <t>공식 데이터시트</t>
        </is>
      </c>
      <c r="I6" s="19" t="inlineStr">
        <is>
          <t>2026-09-08</t>
        </is>
      </c>
      <c r="J6" s="19" t="inlineStr">
        <is>
          <t>공식 Arista PDF</t>
        </is>
      </c>
    </row>
    <row r="7" ht="62" customHeight="1">
      <c r="A7" s="22" t="n">
        <v>2</v>
      </c>
      <c r="B7" s="23" t="inlineStr">
        <is>
          <t>유선 스위치</t>
        </is>
      </c>
      <c r="C7" s="23" t="inlineStr">
        <is>
          <t>7800R3</t>
        </is>
      </c>
      <c r="D7" s="23" t="inlineStr">
        <is>
          <t>Arista 7800R3 Datasheet</t>
        </is>
      </c>
      <c r="E7" s="23" t="inlineStr">
        <is>
          <t>Datasheet</t>
        </is>
      </c>
      <c r="F7" s="24" t="inlineStr">
        <is>
          <t>https://www.arista.com/assets/data/pdf/Datasheets/7800R3-Data-Sheet.pdf</t>
        </is>
      </c>
      <c r="G7" s="23" t="inlineStr">
        <is>
          <t>7816LR3, 7816R3, 7812R3, 7808R3, 7804R3</t>
        </is>
      </c>
      <c r="H7" s="23" t="inlineStr">
        <is>
          <t>공식 데이터시트</t>
        </is>
      </c>
      <c r="I7" s="23" t="inlineStr">
        <is>
          <t>2026-09-08</t>
        </is>
      </c>
      <c r="J7" s="23" t="inlineStr">
        <is>
          <t>공식 Arista PDF</t>
        </is>
      </c>
    </row>
    <row r="8" ht="62" customHeight="1">
      <c r="A8" s="17" t="n">
        <v>3</v>
      </c>
      <c r="B8" s="19" t="inlineStr">
        <is>
          <t>유선 스위치</t>
        </is>
      </c>
      <c r="C8" s="19" t="inlineStr">
        <is>
          <t>7700R4</t>
        </is>
      </c>
      <c r="D8" s="19" t="inlineStr">
        <is>
          <t>Arista 7700R4 Datasheet</t>
        </is>
      </c>
      <c r="E8" s="19" t="inlineStr">
        <is>
          <t>Datasheet</t>
        </is>
      </c>
      <c r="F8" s="21" t="inlineStr">
        <is>
          <t>https://www.arista.com/assets/data/pdf/Datasheets/7700R4-Distributed-Etherlink-Switch-Datasheet.pdf</t>
        </is>
      </c>
      <c r="G8" s="19" t="inlineStr">
        <is>
          <t>7720R4-128PE, 7700R4C-36PE</t>
        </is>
      </c>
      <c r="H8" s="19" t="inlineStr">
        <is>
          <t>공식 데이터시트</t>
        </is>
      </c>
      <c r="I8" s="19" t="inlineStr">
        <is>
          <t>2026-09-08</t>
        </is>
      </c>
      <c r="J8" s="19" t="inlineStr">
        <is>
          <t>공식 Arista PDF</t>
        </is>
      </c>
    </row>
    <row r="9" ht="62" customHeight="1">
      <c r="A9" s="22" t="n">
        <v>4</v>
      </c>
      <c r="B9" s="23" t="inlineStr">
        <is>
          <t>유선 스위치</t>
        </is>
      </c>
      <c r="C9" s="23" t="inlineStr">
        <is>
          <t>7500R3</t>
        </is>
      </c>
      <c r="D9" s="23" t="inlineStr">
        <is>
          <t>Arista 7500R3 Datasheet</t>
        </is>
      </c>
      <c r="E9" s="23" t="inlineStr">
        <is>
          <t>Datasheet</t>
        </is>
      </c>
      <c r="F9" s="24" t="inlineStr">
        <is>
          <t>https://www.arista.com/assets/data/pdf/Datasheets/7500R3-Data-Sheet.pdf</t>
        </is>
      </c>
      <c r="G9" s="23" t="inlineStr">
        <is>
          <t>7512R3, 7508R3, 7504R3</t>
        </is>
      </c>
      <c r="H9" s="23" t="inlineStr">
        <is>
          <t>공식 데이터시트</t>
        </is>
      </c>
      <c r="I9" s="23" t="inlineStr">
        <is>
          <t>2026-09-08</t>
        </is>
      </c>
      <c r="J9" s="23" t="inlineStr">
        <is>
          <t>공식 Arista PDF</t>
        </is>
      </c>
    </row>
    <row r="10" ht="62" customHeight="1">
      <c r="A10" s="17" t="n">
        <v>5</v>
      </c>
      <c r="B10" s="19" t="inlineStr">
        <is>
          <t>유선 스위치</t>
        </is>
      </c>
      <c r="C10" s="19" t="inlineStr">
        <is>
          <t>7500R</t>
        </is>
      </c>
      <c r="D10" s="19" t="inlineStr">
        <is>
          <t>Arista 7500R Datasheet</t>
        </is>
      </c>
      <c r="E10" s="19" t="inlineStr">
        <is>
          <t>Datasheet</t>
        </is>
      </c>
      <c r="F10" s="21" t="inlineStr">
        <is>
          <t>https://www.arista.com/assets/data/pdf/Datasheets/7500RDataSheet.pdf</t>
        </is>
      </c>
      <c r="G10" s="19" t="inlineStr">
        <is>
          <t>7516R, 7512R, 7508R, 7504R</t>
        </is>
      </c>
      <c r="H10" s="19" t="inlineStr">
        <is>
          <t>공식 데이터시트</t>
        </is>
      </c>
      <c r="I10" s="19" t="inlineStr">
        <is>
          <t>2026-09-08</t>
        </is>
      </c>
      <c r="J10" s="19" t="inlineStr">
        <is>
          <t>공식 Arista PDF</t>
        </is>
      </c>
    </row>
    <row r="11" ht="62" customHeight="1">
      <c r="A11" s="22" t="n">
        <v>6</v>
      </c>
      <c r="B11" s="23" t="inlineStr">
        <is>
          <t>유선 스위치</t>
        </is>
      </c>
      <c r="C11" s="23" t="inlineStr">
        <is>
          <t>7300X3</t>
        </is>
      </c>
      <c r="D11" s="23" t="inlineStr">
        <is>
          <t>Arista 7300X3 Datasheet</t>
        </is>
      </c>
      <c r="E11" s="23" t="inlineStr">
        <is>
          <t>Datasheet</t>
        </is>
      </c>
      <c r="F11" s="24" t="inlineStr">
        <is>
          <t>https://www.arista.com/assets/data/pdf/Datasheets/7300X3-Datasheet.pdf</t>
        </is>
      </c>
      <c r="G11" s="23" t="inlineStr">
        <is>
          <t>7308X3, 7304X3</t>
        </is>
      </c>
      <c r="H11" s="23" t="inlineStr">
        <is>
          <t>공식 데이터시트</t>
        </is>
      </c>
      <c r="I11" s="23" t="inlineStr">
        <is>
          <t>2026-09-08</t>
        </is>
      </c>
      <c r="J11" s="23" t="inlineStr">
        <is>
          <t>공식 Arista PDF</t>
        </is>
      </c>
    </row>
    <row r="12" ht="62" customHeight="1">
      <c r="A12" s="17" t="n">
        <v>7</v>
      </c>
      <c r="B12" s="19" t="inlineStr">
        <is>
          <t>유선 스위치</t>
        </is>
      </c>
      <c r="C12" s="19" t="inlineStr">
        <is>
          <t>7388X5</t>
        </is>
      </c>
      <c r="D12" s="19" t="inlineStr">
        <is>
          <t>Arista 7388X5 Datasheet</t>
        </is>
      </c>
      <c r="E12" s="19" t="inlineStr">
        <is>
          <t>Datasheet</t>
        </is>
      </c>
      <c r="F12" s="21" t="inlineStr">
        <is>
          <t>https://www.arista.com/assets/data/pdf/Datasheets/7388X5-Datasheet.pdf</t>
        </is>
      </c>
      <c r="G12" s="19" t="inlineStr">
        <is>
          <t>7388X5</t>
        </is>
      </c>
      <c r="H12" s="19" t="inlineStr">
        <is>
          <t>공식 데이터시트</t>
        </is>
      </c>
      <c r="I12" s="19" t="inlineStr">
        <is>
          <t>2026-09-08</t>
        </is>
      </c>
      <c r="J12" s="19" t="inlineStr">
        <is>
          <t>공식 Arista PDF</t>
        </is>
      </c>
    </row>
    <row r="13" ht="62" customHeight="1">
      <c r="A13" s="22" t="n">
        <v>8</v>
      </c>
      <c r="B13" s="23" t="inlineStr">
        <is>
          <t>유선 스위치</t>
        </is>
      </c>
      <c r="C13" s="23" t="inlineStr">
        <is>
          <t>7368X4</t>
        </is>
      </c>
      <c r="D13" s="23" t="inlineStr">
        <is>
          <t>Arista 7368X4 Datasheet</t>
        </is>
      </c>
      <c r="E13" s="23" t="inlineStr">
        <is>
          <t>Datasheet</t>
        </is>
      </c>
      <c r="F13" s="24" t="inlineStr">
        <is>
          <t>https://www.arista.com/assets/data/pdf/Datasheets/7368X4-Datasheet.pdf</t>
        </is>
      </c>
      <c r="G13" s="23" t="inlineStr">
        <is>
          <t>7368X4</t>
        </is>
      </c>
      <c r="H13" s="23" t="inlineStr">
        <is>
          <t>공식 데이터시트</t>
        </is>
      </c>
      <c r="I13" s="23" t="inlineStr">
        <is>
          <t>2026-09-08</t>
        </is>
      </c>
      <c r="J13" s="23" t="inlineStr">
        <is>
          <t>공식 Arista PDF</t>
        </is>
      </c>
    </row>
    <row r="14" ht="62" customHeight="1">
      <c r="A14" s="17" t="n">
        <v>9</v>
      </c>
      <c r="B14" s="19" t="inlineStr">
        <is>
          <t>유선 스위치</t>
        </is>
      </c>
      <c r="C14" s="19" t="inlineStr">
        <is>
          <t>7358X4</t>
        </is>
      </c>
      <c r="D14" s="19" t="inlineStr">
        <is>
          <t>Arista 7358X4 Datasheet</t>
        </is>
      </c>
      <c r="E14" s="19" t="inlineStr">
        <is>
          <t>Datasheet</t>
        </is>
      </c>
      <c r="F14" s="21" t="inlineStr">
        <is>
          <t>https://www.arista.com/assets/data/pdf/Datasheets/7358X4-Datasheet.pdf</t>
        </is>
      </c>
      <c r="G14" s="19" t="inlineStr">
        <is>
          <t>7358X4</t>
        </is>
      </c>
      <c r="H14" s="19" t="inlineStr">
        <is>
          <t>공식 데이터시트</t>
        </is>
      </c>
      <c r="I14" s="19" t="inlineStr">
        <is>
          <t>2026-09-08</t>
        </is>
      </c>
      <c r="J14" s="19" t="inlineStr">
        <is>
          <t>공식 Arista PDF</t>
        </is>
      </c>
    </row>
    <row r="15" ht="62" customHeight="1">
      <c r="A15" s="22" t="n">
        <v>10</v>
      </c>
      <c r="B15" s="23" t="inlineStr">
        <is>
          <t>유선 스위치</t>
        </is>
      </c>
      <c r="C15" s="23" t="inlineStr">
        <is>
          <t>7280R4</t>
        </is>
      </c>
      <c r="D15" s="23" t="inlineStr">
        <is>
          <t>Arista 7280R4 Datasheet</t>
        </is>
      </c>
      <c r="E15" s="23" t="inlineStr">
        <is>
          <t>Datasheet</t>
        </is>
      </c>
      <c r="F15" s="24" t="inlineStr">
        <is>
          <t>https://www.arista.com/assets/data/pdf/Datasheets/7280R4-Series-Datasheet.pdf</t>
        </is>
      </c>
      <c r="G15" s="23" t="inlineStr">
        <is>
          <t>7280R4-64QC-10PE, 7280R4-32PE / 7280R4-32DE</t>
        </is>
      </c>
      <c r="H15" s="23" t="inlineStr">
        <is>
          <t>공식 데이터시트</t>
        </is>
      </c>
      <c r="I15" s="23" t="inlineStr">
        <is>
          <t>2026-09-08</t>
        </is>
      </c>
      <c r="J15" s="23" t="inlineStr">
        <is>
          <t>공식 Arista PDF</t>
        </is>
      </c>
    </row>
    <row r="16" ht="62" customHeight="1">
      <c r="A16" s="17" t="n">
        <v>11</v>
      </c>
      <c r="B16" s="19" t="inlineStr">
        <is>
          <t>유선 스위치</t>
        </is>
      </c>
      <c r="C16" s="19" t="inlineStr">
        <is>
          <t>7280R3A</t>
        </is>
      </c>
      <c r="D16" s="19" t="inlineStr">
        <is>
          <t>Arista 7280R3A Datasheet</t>
        </is>
      </c>
      <c r="E16" s="19" t="inlineStr">
        <is>
          <t>Datasheet</t>
        </is>
      </c>
      <c r="F16" s="21" t="inlineStr">
        <is>
          <t>https://www.arista.com/assets/data/pdf/Datasheets/7280R3A-Datasheet.pdf</t>
        </is>
      </c>
      <c r="G16" s="19" t="inlineStr">
        <is>
          <t>7280DR3A-54, 7280DR3A-36, 7280CR3A-24D12, 7280CR3A-48D6, 7280CR3A-32S, 7280CR3A-72, 7280SR3A-48YC8</t>
        </is>
      </c>
      <c r="H16" s="19" t="inlineStr">
        <is>
          <t>공식 데이터시트</t>
        </is>
      </c>
      <c r="I16" s="19" t="inlineStr">
        <is>
          <t>2026-09-08</t>
        </is>
      </c>
      <c r="J16" s="19" t="inlineStr">
        <is>
          <t>공식 Arista PDF</t>
        </is>
      </c>
    </row>
    <row r="17" ht="62" customHeight="1">
      <c r="A17" s="22" t="n">
        <v>12</v>
      </c>
      <c r="B17" s="23" t="inlineStr">
        <is>
          <t>유선 스위치</t>
        </is>
      </c>
      <c r="C17" s="23" t="inlineStr">
        <is>
          <t>7280R3A Modular</t>
        </is>
      </c>
      <c r="D17" s="23" t="inlineStr">
        <is>
          <t>Arista 7280R3A Modular Datasheet</t>
        </is>
      </c>
      <c r="E17" s="23" t="inlineStr">
        <is>
          <t>Datasheet</t>
        </is>
      </c>
      <c r="F17" s="24" t="inlineStr">
        <is>
          <t>https://www.arista.com/assets/data/pdf/Datasheets/7280R3A-Modular-Datasheet.pdf</t>
        </is>
      </c>
      <c r="G17" s="23" t="inlineStr">
        <is>
          <t>7280R3A Modular</t>
        </is>
      </c>
      <c r="H17" s="23" t="inlineStr">
        <is>
          <t>공식 데이터시트</t>
        </is>
      </c>
      <c r="I17" s="23" t="inlineStr">
        <is>
          <t>2026-09-08</t>
        </is>
      </c>
      <c r="J17" s="23" t="inlineStr">
        <is>
          <t>공식 Arista PDF</t>
        </is>
      </c>
    </row>
    <row r="18" ht="62" customHeight="1">
      <c r="A18" s="17" t="n">
        <v>13</v>
      </c>
      <c r="B18" s="19" t="inlineStr">
        <is>
          <t>유선 스위치</t>
        </is>
      </c>
      <c r="C18" s="19" t="inlineStr">
        <is>
          <t>7280R3</t>
        </is>
      </c>
      <c r="D18" s="19" t="inlineStr">
        <is>
          <t>Arista 7280R3 Datasheet</t>
        </is>
      </c>
      <c r="E18" s="19" t="inlineStr">
        <is>
          <t>Datasheet</t>
        </is>
      </c>
      <c r="F18" s="21" t="inlineStr">
        <is>
          <t>https://www.arista.com/assets/data/pdf/Datasheets/7280R3-Data-Sheet.pdf</t>
        </is>
      </c>
      <c r="G18" s="19" t="inlineStr">
        <is>
          <t>7280PR3-24 / 7280DR3-24, 7280CR3-32P4 / 32D4, 7280CR3-36S, 7280CR3-96, 7280SR3-48YC8, 7280SR3-40YC6</t>
        </is>
      </c>
      <c r="H18" s="19" t="inlineStr">
        <is>
          <t>공식 데이터시트</t>
        </is>
      </c>
      <c r="I18" s="19" t="inlineStr">
        <is>
          <t>2026-09-08</t>
        </is>
      </c>
      <c r="J18" s="19" t="inlineStr">
        <is>
          <t>공식 Arista PDF</t>
        </is>
      </c>
    </row>
    <row r="19" ht="62" customHeight="1">
      <c r="A19" s="22" t="n">
        <v>14</v>
      </c>
      <c r="B19" s="23" t="inlineStr">
        <is>
          <t>유선 스위치</t>
        </is>
      </c>
      <c r="C19" s="23" t="inlineStr">
        <is>
          <t>7280R3 MACsec</t>
        </is>
      </c>
      <c r="D19" s="23" t="inlineStr">
        <is>
          <t>Arista 7280R3 MACsec Datasheet</t>
        </is>
      </c>
      <c r="E19" s="23" t="inlineStr">
        <is>
          <t>Datasheet</t>
        </is>
      </c>
      <c r="F19" s="24" t="inlineStr">
        <is>
          <t>https://www.arista.com/assets/data/pdf/Datasheets/7280R3-MACSec-Datasheet.pdf</t>
        </is>
      </c>
      <c r="G19" s="23" t="inlineStr">
        <is>
          <t>7280CR3MK-32P4 / 32D4</t>
        </is>
      </c>
      <c r="H19" s="23" t="inlineStr">
        <is>
          <t>공식 데이터시트</t>
        </is>
      </c>
      <c r="I19" s="23" t="inlineStr">
        <is>
          <t>2026-09-08</t>
        </is>
      </c>
      <c r="J19" s="23" t="inlineStr">
        <is>
          <t>공식 Arista PDF</t>
        </is>
      </c>
    </row>
    <row r="20" ht="62" customHeight="1">
      <c r="A20" s="17" t="n">
        <v>15</v>
      </c>
      <c r="B20" s="19" t="inlineStr">
        <is>
          <t>유선 스위치</t>
        </is>
      </c>
      <c r="C20" s="19" t="inlineStr">
        <is>
          <t>7135V</t>
        </is>
      </c>
      <c r="D20" s="19" t="inlineStr">
        <is>
          <t>Arista 7135V Datasheet</t>
        </is>
      </c>
      <c r="E20" s="19" t="inlineStr">
        <is>
          <t>Datasheet</t>
        </is>
      </c>
      <c r="F20" s="21" t="inlineStr">
        <is>
          <t>https://www.arista.com/assets/data/pdf/Datasheets/7135V-Datasheet.pdf</t>
        </is>
      </c>
      <c r="G20" s="19" t="inlineStr">
        <is>
          <t>7135V-48Y-4QC</t>
        </is>
      </c>
      <c r="H20" s="19" t="inlineStr">
        <is>
          <t>공식 데이터시트</t>
        </is>
      </c>
      <c r="I20" s="19" t="inlineStr">
        <is>
          <t>2026-09-08</t>
        </is>
      </c>
      <c r="J20" s="19" t="inlineStr">
        <is>
          <t>공식 Arista PDF</t>
        </is>
      </c>
    </row>
    <row r="21" ht="62" customHeight="1">
      <c r="A21" s="22" t="n">
        <v>16</v>
      </c>
      <c r="B21" s="23" t="inlineStr">
        <is>
          <t>유선 스위치</t>
        </is>
      </c>
      <c r="C21" s="23" t="inlineStr">
        <is>
          <t>7130LBR</t>
        </is>
      </c>
      <c r="D21" s="23" t="inlineStr">
        <is>
          <t>Arista 7130LBR Datasheet</t>
        </is>
      </c>
      <c r="E21" s="23" t="inlineStr">
        <is>
          <t>Datasheet</t>
        </is>
      </c>
      <c r="F21" s="24" t="inlineStr">
        <is>
          <t>https://www.arista.com/assets/data/pdf/Datasheets/7130LBR-Datasheet.pdf</t>
        </is>
      </c>
      <c r="G21" s="23" t="inlineStr">
        <is>
          <t>7130LBR-48S6QD</t>
        </is>
      </c>
      <c r="H21" s="23" t="inlineStr">
        <is>
          <t>공식 데이터시트</t>
        </is>
      </c>
      <c r="I21" s="23" t="inlineStr">
        <is>
          <t>2026-09-08</t>
        </is>
      </c>
      <c r="J21" s="23" t="inlineStr">
        <is>
          <t>공식 Arista PDF</t>
        </is>
      </c>
    </row>
    <row r="22" ht="62" customHeight="1">
      <c r="A22" s="17" t="n">
        <v>17</v>
      </c>
      <c r="B22" s="19" t="inlineStr">
        <is>
          <t>유선 스위치</t>
        </is>
      </c>
      <c r="C22" s="19" t="inlineStr">
        <is>
          <t>7132LB</t>
        </is>
      </c>
      <c r="D22" s="19" t="inlineStr">
        <is>
          <t>Arista 7132LB Datasheet</t>
        </is>
      </c>
      <c r="E22" s="19" t="inlineStr">
        <is>
          <t>Datasheet</t>
        </is>
      </c>
      <c r="F22" s="21" t="inlineStr">
        <is>
          <t>https://www.arista.com/assets/data/pdf/Datasheets/7132LB-Datasheet.pdf</t>
        </is>
      </c>
      <c r="G22" s="19" t="inlineStr">
        <is>
          <t>7132LB-48Y4C</t>
        </is>
      </c>
      <c r="H22" s="19" t="inlineStr">
        <is>
          <t>공식 데이터시트</t>
        </is>
      </c>
      <c r="I22" s="19" t="inlineStr">
        <is>
          <t>2026-09-08</t>
        </is>
      </c>
      <c r="J22" s="19" t="inlineStr">
        <is>
          <t>공식 Arista PDF</t>
        </is>
      </c>
    </row>
    <row r="23" ht="62" customHeight="1">
      <c r="A23" s="22" t="n">
        <v>18</v>
      </c>
      <c r="B23" s="23" t="inlineStr">
        <is>
          <t>유선 스위치</t>
        </is>
      </c>
      <c r="C23" s="23" t="inlineStr">
        <is>
          <t>7135LB</t>
        </is>
      </c>
      <c r="D23" s="23" t="inlineStr">
        <is>
          <t>Arista 7135LB Datasheet</t>
        </is>
      </c>
      <c r="E23" s="23" t="inlineStr">
        <is>
          <t>Datasheet</t>
        </is>
      </c>
      <c r="F23" s="24" t="inlineStr">
        <is>
          <t>https://www.arista.com/assets/data/pdf/Datasheets/7135LB-Datasheet.pdf</t>
        </is>
      </c>
      <c r="G23" s="23" t="inlineStr">
        <is>
          <t>7135LB-48Y4C</t>
        </is>
      </c>
      <c r="H23" s="23" t="inlineStr">
        <is>
          <t>공식 데이터시트</t>
        </is>
      </c>
      <c r="I23" s="23" t="inlineStr">
        <is>
          <t>2026-09-08</t>
        </is>
      </c>
      <c r="J23" s="23" t="inlineStr">
        <is>
          <t>공식 Arista PDF</t>
        </is>
      </c>
    </row>
    <row r="24" ht="62" customHeight="1">
      <c r="A24" s="17" t="n">
        <v>19</v>
      </c>
      <c r="B24" s="19" t="inlineStr">
        <is>
          <t>유선 스위치</t>
        </is>
      </c>
      <c r="C24" s="19" t="inlineStr">
        <is>
          <t>7130E</t>
        </is>
      </c>
      <c r="D24" s="19" t="inlineStr">
        <is>
          <t>Arista 7130E Datasheet</t>
        </is>
      </c>
      <c r="E24" s="19" t="inlineStr">
        <is>
          <t>Datasheet</t>
        </is>
      </c>
      <c r="F24" s="21" t="inlineStr">
        <is>
          <t>https://www.arista.com/assets/data/pdf/Datasheets/7130E-Series-Data-Sheet.pdf</t>
        </is>
      </c>
      <c r="G24" s="19" t="inlineStr">
        <is>
          <t>7130-48EHS</t>
        </is>
      </c>
      <c r="H24" s="19" t="inlineStr">
        <is>
          <t>공식 데이터시트</t>
        </is>
      </c>
      <c r="I24" s="19" t="inlineStr">
        <is>
          <t>2026-09-08</t>
        </is>
      </c>
      <c r="J24" s="19" t="inlineStr">
        <is>
          <t>공식 Arista PDF</t>
        </is>
      </c>
    </row>
    <row r="25" ht="62" customHeight="1">
      <c r="A25" s="22" t="n">
        <v>20</v>
      </c>
      <c r="B25" s="23" t="inlineStr">
        <is>
          <t>유선 스위치</t>
        </is>
      </c>
      <c r="C25" s="23" t="inlineStr">
        <is>
          <t>7130LS</t>
        </is>
      </c>
      <c r="D25" s="23" t="inlineStr">
        <is>
          <t>Arista 7130LS Datasheet</t>
        </is>
      </c>
      <c r="E25" s="23" t="inlineStr">
        <is>
          <t>Datasheet</t>
        </is>
      </c>
      <c r="F25" s="24" t="inlineStr">
        <is>
          <t>https://www.arista.com/assets/data/pdf/Datasheets/7130LS-Series-Data-Sheet.pdf</t>
        </is>
      </c>
      <c r="G25" s="23" t="inlineStr">
        <is>
          <t>7130-96LBS, 7130-48LBS</t>
        </is>
      </c>
      <c r="H25" s="23" t="inlineStr">
        <is>
          <t>공식 데이터시트</t>
        </is>
      </c>
      <c r="I25" s="23" t="inlineStr">
        <is>
          <t>2026-09-08</t>
        </is>
      </c>
      <c r="J25" s="23" t="inlineStr">
        <is>
          <t>공식 Arista PDF</t>
        </is>
      </c>
    </row>
    <row r="26" ht="62" customHeight="1">
      <c r="A26" s="17" t="n">
        <v>21</v>
      </c>
      <c r="B26" s="19" t="inlineStr">
        <is>
          <t>유선 스위치</t>
        </is>
      </c>
      <c r="C26" s="19" t="inlineStr">
        <is>
          <t>7130 Connect S</t>
        </is>
      </c>
      <c r="D26" s="19" t="inlineStr">
        <is>
          <t>Arista 7130 Connect S Datasheet</t>
        </is>
      </c>
      <c r="E26" s="19" t="inlineStr">
        <is>
          <t>Datasheet</t>
        </is>
      </c>
      <c r="F26" s="21" t="inlineStr">
        <is>
          <t>https://www.arista.com/assets/data/pdf/Datasheets/7130-Connect-S-Series-Datasheet.pdf</t>
        </is>
      </c>
      <c r="G26" s="19" t="inlineStr">
        <is>
          <t>7130-48G3S</t>
        </is>
      </c>
      <c r="H26" s="19" t="inlineStr">
        <is>
          <t>공식 데이터시트</t>
        </is>
      </c>
      <c r="I26" s="19" t="inlineStr">
        <is>
          <t>2026-09-08</t>
        </is>
      </c>
      <c r="J26" s="19" t="inlineStr">
        <is>
          <t>공식 Arista PDF</t>
        </is>
      </c>
    </row>
    <row r="27" ht="62" customHeight="1">
      <c r="A27" s="22" t="n">
        <v>22</v>
      </c>
      <c r="B27" s="23" t="inlineStr">
        <is>
          <t>유선 스위치</t>
        </is>
      </c>
      <c r="C27" s="23" t="inlineStr">
        <is>
          <t>7060XE7</t>
        </is>
      </c>
      <c r="D27" s="23" t="inlineStr">
        <is>
          <t>Arista 7060XE7 Datasheet</t>
        </is>
      </c>
      <c r="E27" s="23" t="inlineStr">
        <is>
          <t>Datasheet</t>
        </is>
      </c>
      <c r="F27" s="24" t="inlineStr">
        <is>
          <t>https://www.arista.com/assets/data/pdf/Datasheets/7060XE7-Datasheet.pdf</t>
        </is>
      </c>
      <c r="G27" s="23" t="inlineStr">
        <is>
          <t>7060XE7-128PE, 7060XE7-64PRS-RV3-L, 7060XE7-64PRS, 7060XE7-64PS</t>
        </is>
      </c>
      <c r="H27" s="23" t="inlineStr">
        <is>
          <t>공식 데이터시트</t>
        </is>
      </c>
      <c r="I27" s="23" t="inlineStr">
        <is>
          <t>2026-09-08</t>
        </is>
      </c>
      <c r="J27" s="23" t="inlineStr">
        <is>
          <t>공식 Arista PDF</t>
        </is>
      </c>
    </row>
    <row r="28" ht="62" customHeight="1">
      <c r="A28" s="17" t="n">
        <v>23</v>
      </c>
      <c r="B28" s="19" t="inlineStr">
        <is>
          <t>유선 스위치</t>
        </is>
      </c>
      <c r="C28" s="19" t="inlineStr">
        <is>
          <t>7060XE7 Quick Look</t>
        </is>
      </c>
      <c r="D28" s="19" t="inlineStr">
        <is>
          <t>Arista 7060XE7 Quick Look Quick Look</t>
        </is>
      </c>
      <c r="E28" s="19" t="inlineStr">
        <is>
          <t>Quick Look</t>
        </is>
      </c>
      <c r="F28" s="21" t="inlineStr">
        <is>
          <t>https://www.arista.com/assets/data/pdf/Datasheets/7060XE7-Series-Quick-Look.pdf</t>
        </is>
      </c>
      <c r="G28" s="19" t="inlineStr">
        <is>
          <t>제품군 공통/보조 문서</t>
        </is>
      </c>
      <c r="H28" s="19" t="inlineStr">
        <is>
          <t>공식 보조 문서</t>
        </is>
      </c>
      <c r="I28" s="19" t="inlineStr">
        <is>
          <t>2026-09-08</t>
        </is>
      </c>
      <c r="J28" s="19" t="inlineStr">
        <is>
          <t>상세 데이터시트와 함께 참조</t>
        </is>
      </c>
    </row>
    <row r="29" ht="62" customHeight="1">
      <c r="A29" s="22" t="n">
        <v>24</v>
      </c>
      <c r="B29" s="23" t="inlineStr">
        <is>
          <t>유선 스위치</t>
        </is>
      </c>
      <c r="C29" s="23" t="inlineStr">
        <is>
          <t>7060X6</t>
        </is>
      </c>
      <c r="D29" s="23" t="inlineStr">
        <is>
          <t>Arista 7060X6 Datasheet</t>
        </is>
      </c>
      <c r="E29" s="23" t="inlineStr">
        <is>
          <t>Datasheet</t>
        </is>
      </c>
      <c r="F29" s="24" t="inlineStr">
        <is>
          <t>https://www.arista.com/assets/data/pdf/Datasheets/7060X6-Datasheet.pdf</t>
        </is>
      </c>
      <c r="G29" s="23" t="inlineStr">
        <is>
          <t>7060X6-64PE, 7060X6-32PE</t>
        </is>
      </c>
      <c r="H29" s="23" t="inlineStr">
        <is>
          <t>공식 데이터시트</t>
        </is>
      </c>
      <c r="I29" s="23" t="inlineStr">
        <is>
          <t>2026-09-08</t>
        </is>
      </c>
      <c r="J29" s="23" t="inlineStr">
        <is>
          <t>공식 Arista PDF</t>
        </is>
      </c>
    </row>
    <row r="30" ht="62" customHeight="1">
      <c r="A30" s="17" t="n">
        <v>25</v>
      </c>
      <c r="B30" s="19" t="inlineStr">
        <is>
          <t>유선 스위치</t>
        </is>
      </c>
      <c r="C30" s="19" t="inlineStr">
        <is>
          <t>7060X5</t>
        </is>
      </c>
      <c r="D30" s="19" t="inlineStr">
        <is>
          <t>Arista 7060X5 Datasheet</t>
        </is>
      </c>
      <c r="E30" s="19" t="inlineStr">
        <is>
          <t>Datasheet</t>
        </is>
      </c>
      <c r="F30" s="21" t="inlineStr">
        <is>
          <t>https://www.arista.com/assets/data/pdf/Datasheets/7060X5-Datasheet.pdf</t>
        </is>
      </c>
      <c r="G30" s="19" t="inlineStr">
        <is>
          <t>7060PX5-64E, 7060DX5-64E, 7060DX5-64S, 7060DX5-32</t>
        </is>
      </c>
      <c r="H30" s="19" t="inlineStr">
        <is>
          <t>공식 데이터시트</t>
        </is>
      </c>
      <c r="I30" s="19" t="inlineStr">
        <is>
          <t>2026-09-08</t>
        </is>
      </c>
      <c r="J30" s="19" t="inlineStr">
        <is>
          <t>공식 Arista PDF</t>
        </is>
      </c>
    </row>
    <row r="31" ht="62" customHeight="1">
      <c r="A31" s="22" t="n">
        <v>26</v>
      </c>
      <c r="B31" s="23" t="inlineStr">
        <is>
          <t>유선 스위치</t>
        </is>
      </c>
      <c r="C31" s="23" t="inlineStr">
        <is>
          <t>7060X4</t>
        </is>
      </c>
      <c r="D31" s="23" t="inlineStr">
        <is>
          <t>Arista 7060X4 Datasheet</t>
        </is>
      </c>
      <c r="E31" s="23" t="inlineStr">
        <is>
          <t>Datasheet</t>
        </is>
      </c>
      <c r="F31" s="24" t="inlineStr">
        <is>
          <t>https://www.arista.com/assets/data/pdf/Datasheets/7060X4-Datasheet.pdf</t>
        </is>
      </c>
      <c r="G31" s="23" t="inlineStr">
        <is>
          <t>7060PX4-32, 7060DX4-32</t>
        </is>
      </c>
      <c r="H31" s="23" t="inlineStr">
        <is>
          <t>공식 데이터시트</t>
        </is>
      </c>
      <c r="I31" s="23" t="inlineStr">
        <is>
          <t>2026-09-08</t>
        </is>
      </c>
      <c r="J31" s="23" t="inlineStr">
        <is>
          <t>공식 Arista PDF</t>
        </is>
      </c>
    </row>
    <row r="32" ht="62" customHeight="1">
      <c r="A32" s="17" t="n">
        <v>27</v>
      </c>
      <c r="B32" s="19" t="inlineStr">
        <is>
          <t>유선 스위치</t>
        </is>
      </c>
      <c r="C32" s="19" t="inlineStr">
        <is>
          <t>7060X/7260X</t>
        </is>
      </c>
      <c r="D32" s="19" t="inlineStr">
        <is>
          <t>Arista 7060X/7260X Datasheet</t>
        </is>
      </c>
      <c r="E32" s="19" t="inlineStr">
        <is>
          <t>Datasheet</t>
        </is>
      </c>
      <c r="F32" s="21" t="inlineStr">
        <is>
          <t>https://www.arista.com/assets/data/pdf/Datasheets/7060X_7260X_DS.pdf</t>
        </is>
      </c>
      <c r="G32" s="19" t="inlineStr">
        <is>
          <t>7260QX-64, 7260CX-64, 7060SX2-48YC6, 7060CX2-32S, 7060CX-32S</t>
        </is>
      </c>
      <c r="H32" s="19" t="inlineStr">
        <is>
          <t>공식 데이터시트</t>
        </is>
      </c>
      <c r="I32" s="19" t="inlineStr">
        <is>
          <t>2026-09-08</t>
        </is>
      </c>
      <c r="J32" s="19" t="inlineStr">
        <is>
          <t>공식 Arista PDF</t>
        </is>
      </c>
    </row>
    <row r="33" ht="62" customHeight="1">
      <c r="A33" s="22" t="n">
        <v>28</v>
      </c>
      <c r="B33" s="23" t="inlineStr">
        <is>
          <t>유선 스위치</t>
        </is>
      </c>
      <c r="C33" s="23" t="inlineStr">
        <is>
          <t>7260X3</t>
        </is>
      </c>
      <c r="D33" s="23" t="inlineStr">
        <is>
          <t>Arista 7260X3 Datasheet</t>
        </is>
      </c>
      <c r="E33" s="23" t="inlineStr">
        <is>
          <t>Datasheet</t>
        </is>
      </c>
      <c r="F33" s="24" t="inlineStr">
        <is>
          <t>https://www.arista.com/assets/data/pdf/Datasheets/7260X3_Datasheet.pdf</t>
        </is>
      </c>
      <c r="G33" s="23" t="inlineStr">
        <is>
          <t>7260CX3-64</t>
        </is>
      </c>
      <c r="H33" s="23" t="inlineStr">
        <is>
          <t>공식 데이터시트</t>
        </is>
      </c>
      <c r="I33" s="23" t="inlineStr">
        <is>
          <t>2026-09-08</t>
        </is>
      </c>
      <c r="J33" s="23" t="inlineStr">
        <is>
          <t>공식 Arista PDF</t>
        </is>
      </c>
    </row>
    <row r="34" ht="62" customHeight="1">
      <c r="A34" s="17" t="n">
        <v>29</v>
      </c>
      <c r="B34" s="19" t="inlineStr">
        <is>
          <t>유선 스위치</t>
        </is>
      </c>
      <c r="C34" s="19" t="inlineStr">
        <is>
          <t>7050X4</t>
        </is>
      </c>
      <c r="D34" s="19" t="inlineStr">
        <is>
          <t>Arista 7050X4 Datasheet</t>
        </is>
      </c>
      <c r="E34" s="19" t="inlineStr">
        <is>
          <t>Datasheet</t>
        </is>
      </c>
      <c r="F34" s="21" t="inlineStr">
        <is>
          <t>https://www.arista.com/assets/data/pdf/Datasheets/7050X4-Datasheet.pdf</t>
        </is>
      </c>
      <c r="G34" s="19" t="inlineStr">
        <is>
          <t>7050PX4-32S, 7050DX4-32S, 7050DX4M-32S, 7050SDX4-48D8, 7050SPX4-48D8, 7050CX4M-48D8, 7050CX4-24D8, 7050X4-48Y-4DF</t>
        </is>
      </c>
      <c r="H34" s="19" t="inlineStr">
        <is>
          <t>공식 데이터시트</t>
        </is>
      </c>
      <c r="I34" s="19" t="inlineStr">
        <is>
          <t>2026-09-08</t>
        </is>
      </c>
      <c r="J34" s="19" t="inlineStr">
        <is>
          <t>공식 Arista PDF</t>
        </is>
      </c>
    </row>
    <row r="35" ht="62" customHeight="1">
      <c r="A35" s="22" t="n">
        <v>30</v>
      </c>
      <c r="B35" s="23" t="inlineStr">
        <is>
          <t>유선 스위치</t>
        </is>
      </c>
      <c r="C35" s="23" t="inlineStr">
        <is>
          <t>7050X3</t>
        </is>
      </c>
      <c r="D35" s="23" t="inlineStr">
        <is>
          <t>Arista 7050X3 Datasheet</t>
        </is>
      </c>
      <c r="E35" s="23" t="inlineStr">
        <is>
          <t>Datasheet</t>
        </is>
      </c>
      <c r="F35" s="24" t="inlineStr">
        <is>
          <t>https://www.arista.com/assets/data/pdf/Datasheets/7050X3-Datasheet.pdf</t>
        </is>
      </c>
      <c r="G35" s="23" t="inlineStr">
        <is>
          <t>7050TX3-48C8, 7050SX3-48C8, 7050SX3-48YC8, 7050SX3-48YC12, 7050SX3-96YC8, 7050CX3-32S</t>
        </is>
      </c>
      <c r="H35" s="23" t="inlineStr">
        <is>
          <t>공식 데이터시트</t>
        </is>
      </c>
      <c r="I35" s="23" t="inlineStr">
        <is>
          <t>2026-09-08</t>
        </is>
      </c>
      <c r="J35" s="23" t="inlineStr">
        <is>
          <t>공식 Arista PDF</t>
        </is>
      </c>
    </row>
    <row r="36" ht="62" customHeight="1">
      <c r="A36" s="17" t="n">
        <v>31</v>
      </c>
      <c r="B36" s="19" t="inlineStr">
        <is>
          <t>유선 스위치</t>
        </is>
      </c>
      <c r="C36" s="19" t="inlineStr">
        <is>
          <t>7050X3 MACsec</t>
        </is>
      </c>
      <c r="D36" s="19" t="inlineStr">
        <is>
          <t>Arista 7050X3 MACsec Datasheet</t>
        </is>
      </c>
      <c r="E36" s="19" t="inlineStr">
        <is>
          <t>Datasheet</t>
        </is>
      </c>
      <c r="F36" s="21" t="inlineStr">
        <is>
          <t>https://www.arista.com/assets/data/pdf/Datasheets/7050X3-macsec-Datasheet.pdf</t>
        </is>
      </c>
      <c r="G36" s="19" t="inlineStr">
        <is>
          <t>7050CX3M-32S</t>
        </is>
      </c>
      <c r="H36" s="19" t="inlineStr">
        <is>
          <t>공식 데이터시트</t>
        </is>
      </c>
      <c r="I36" s="19" t="inlineStr">
        <is>
          <t>2026-09-08</t>
        </is>
      </c>
      <c r="J36" s="19" t="inlineStr">
        <is>
          <t>공식 Arista PDF</t>
        </is>
      </c>
    </row>
    <row r="37" ht="62" customHeight="1">
      <c r="A37" s="22" t="n">
        <v>32</v>
      </c>
      <c r="B37" s="23" t="inlineStr">
        <is>
          <t>유선 스위치</t>
        </is>
      </c>
      <c r="C37" s="23" t="inlineStr">
        <is>
          <t>7050QX</t>
        </is>
      </c>
      <c r="D37" s="23" t="inlineStr">
        <is>
          <t>Arista 7050QX Datasheet</t>
        </is>
      </c>
      <c r="E37" s="23" t="inlineStr">
        <is>
          <t>Datasheet</t>
        </is>
      </c>
      <c r="F37" s="24" t="inlineStr">
        <is>
          <t>https://www.arista.com/assets/data/pdf/Datasheets/7050QX-32_32S_Datasheet_S.pdf</t>
        </is>
      </c>
      <c r="G37" s="23" t="inlineStr">
        <is>
          <t>7050QX-32S</t>
        </is>
      </c>
      <c r="H37" s="23" t="inlineStr">
        <is>
          <t>공식 데이터시트</t>
        </is>
      </c>
      <c r="I37" s="23" t="inlineStr">
        <is>
          <t>2026-09-08</t>
        </is>
      </c>
      <c r="J37" s="23" t="inlineStr">
        <is>
          <t>공식 Arista PDF</t>
        </is>
      </c>
    </row>
    <row r="38" ht="62" customHeight="1">
      <c r="A38" s="17" t="n">
        <v>33</v>
      </c>
      <c r="B38" s="19" t="inlineStr">
        <is>
          <t>유선 스위치</t>
        </is>
      </c>
      <c r="C38" s="19" t="inlineStr">
        <is>
          <t>7020R4</t>
        </is>
      </c>
      <c r="D38" s="19" t="inlineStr">
        <is>
          <t>Arista 7020R4 Datasheet</t>
        </is>
      </c>
      <c r="E38" s="19" t="inlineStr">
        <is>
          <t>Datasheet</t>
        </is>
      </c>
      <c r="F38" s="21" t="inlineStr">
        <is>
          <t>https://www.arista.com/assets/data/pdf/Datasheets/7020R4-Datasheet.pdf</t>
        </is>
      </c>
      <c r="G38" s="19" t="inlineStr">
        <is>
          <t>7020R4-48TX-4QC, 7020R4-48Y-4QC, 7020R4-48Y-8QC</t>
        </is>
      </c>
      <c r="H38" s="19" t="inlineStr">
        <is>
          <t>공식 데이터시트</t>
        </is>
      </c>
      <c r="I38" s="19" t="inlineStr">
        <is>
          <t>2026-09-08</t>
        </is>
      </c>
      <c r="J38" s="19" t="inlineStr">
        <is>
          <t>공식 Arista PDF</t>
        </is>
      </c>
    </row>
    <row r="39" ht="62" customHeight="1">
      <c r="A39" s="22" t="n">
        <v>34</v>
      </c>
      <c r="B39" s="23" t="inlineStr">
        <is>
          <t>유선 스위치</t>
        </is>
      </c>
      <c r="C39" s="23" t="inlineStr">
        <is>
          <t>7020R legacy</t>
        </is>
      </c>
      <c r="D39" s="23" t="inlineStr">
        <is>
          <t>Arista 7020R legacy Datasheet</t>
        </is>
      </c>
      <c r="E39" s="23" t="inlineStr">
        <is>
          <t>Datasheet</t>
        </is>
      </c>
      <c r="F39" s="24" t="inlineStr">
        <is>
          <t>https://www.arista.com/assets/data/pdf/Datasheets/7020R-48_Datasheet.pdf</t>
        </is>
      </c>
      <c r="G39" s="23" t="inlineStr">
        <is>
          <t>7020SR-24C2, 7020SR-32C2, 7020TR-48, 7020TRA-48</t>
        </is>
      </c>
      <c r="H39" s="40" t="inlineStr">
        <is>
          <t>레거시 공식 문서</t>
        </is>
      </c>
      <c r="I39" s="23" t="inlineStr">
        <is>
          <t>2026-09-08</t>
        </is>
      </c>
      <c r="J39" s="23" t="inlineStr">
        <is>
          <t>공식 Arista PDF</t>
        </is>
      </c>
    </row>
    <row r="40" ht="62" customHeight="1">
      <c r="A40" s="17" t="n">
        <v>35</v>
      </c>
      <c r="B40" s="19" t="inlineStr">
        <is>
          <t>유선 스위치</t>
        </is>
      </c>
      <c r="C40" s="19" t="inlineStr">
        <is>
          <t>7010X</t>
        </is>
      </c>
      <c r="D40" s="19" t="inlineStr">
        <is>
          <t>Arista 7010X Datasheet</t>
        </is>
      </c>
      <c r="E40" s="19" t="inlineStr">
        <is>
          <t>Datasheet</t>
        </is>
      </c>
      <c r="F40" s="21" t="inlineStr">
        <is>
          <t>https://www.arista.com/assets/data/pdf/Datasheets/7010TX-Datasheet.pdf</t>
        </is>
      </c>
      <c r="G40" s="19" t="inlineStr">
        <is>
          <t>7010TX-48, 7010TX-48C</t>
        </is>
      </c>
      <c r="H40" s="19" t="inlineStr">
        <is>
          <t>공식 데이터시트</t>
        </is>
      </c>
      <c r="I40" s="19" t="inlineStr">
        <is>
          <t>2026-09-08</t>
        </is>
      </c>
      <c r="J40" s="19" t="inlineStr">
        <is>
          <t>공식 Arista PDF</t>
        </is>
      </c>
    </row>
    <row r="41" ht="62" customHeight="1">
      <c r="A41" s="22" t="n">
        <v>36</v>
      </c>
      <c r="B41" s="23" t="inlineStr">
        <is>
          <t>유선 스위치</t>
        </is>
      </c>
      <c r="C41" s="23" t="inlineStr">
        <is>
          <t>750X</t>
        </is>
      </c>
      <c r="D41" s="23" t="inlineStr">
        <is>
          <t>Arista 750X Datasheet</t>
        </is>
      </c>
      <c r="E41" s="23" t="inlineStr">
        <is>
          <t>Datasheet</t>
        </is>
      </c>
      <c r="F41" s="24" t="inlineStr">
        <is>
          <t>https://www.arista.com/assets/data/pdf/Datasheets/CCS-750-Series-Datasheet.pdf</t>
        </is>
      </c>
      <c r="G41" s="23" t="inlineStr">
        <is>
          <t>CCS-758-CH, CCS-755-CH, CCS-750X-48TP-LC, CCS-750X-48THP-LC, CCS-750X-48ZP-LC, CCS-750X-48ZXP-LC, CCS-750XPM-48TXH-LC, CCS-750XPM-48NH-LC, CCS-750XM-48TX-LC, CCS-750X-48SX-LC, CCS-750X-48T-LC</t>
        </is>
      </c>
      <c r="H41" s="23" t="inlineStr">
        <is>
          <t>공식 데이터시트</t>
        </is>
      </c>
      <c r="I41" s="23" t="inlineStr">
        <is>
          <t>2026-09-08</t>
        </is>
      </c>
      <c r="J41" s="23" t="inlineStr">
        <is>
          <t>공식 Arista PDF</t>
        </is>
      </c>
    </row>
    <row r="42" ht="62" customHeight="1">
      <c r="A42" s="17" t="n">
        <v>37</v>
      </c>
      <c r="B42" s="19" t="inlineStr">
        <is>
          <t>유선 스위치</t>
        </is>
      </c>
      <c r="C42" s="19" t="inlineStr">
        <is>
          <t>710HXP</t>
        </is>
      </c>
      <c r="D42" s="19" t="inlineStr">
        <is>
          <t>Arista 710HXP Datasheet</t>
        </is>
      </c>
      <c r="E42" s="19" t="inlineStr">
        <is>
          <t>Datasheet</t>
        </is>
      </c>
      <c r="F42" s="21" t="inlineStr">
        <is>
          <t>https://www.arista.com/assets/data/pdf/Datasheets/CCS-710HXP-Datasheet.pdf</t>
        </is>
      </c>
      <c r="G42" s="19" t="inlineStr">
        <is>
          <t>CCS-710HXP-28TXH-4S, CCS-710HXP-20TNH-4S</t>
        </is>
      </c>
      <c r="H42" s="19" t="inlineStr">
        <is>
          <t>공식 데이터시트</t>
        </is>
      </c>
      <c r="I42" s="19" t="inlineStr">
        <is>
          <t>2026-09-08</t>
        </is>
      </c>
      <c r="J42" s="19" t="inlineStr">
        <is>
          <t>공식 Arista PDF</t>
        </is>
      </c>
    </row>
    <row r="43" ht="62" customHeight="1">
      <c r="A43" s="22" t="n">
        <v>38</v>
      </c>
      <c r="B43" s="23" t="inlineStr">
        <is>
          <t>유선 스위치</t>
        </is>
      </c>
      <c r="C43" s="23" t="inlineStr">
        <is>
          <t>710XP</t>
        </is>
      </c>
      <c r="D43" s="23" t="inlineStr">
        <is>
          <t>Arista 710XP Datasheet</t>
        </is>
      </c>
      <c r="E43" s="23" t="inlineStr">
        <is>
          <t>Datasheet</t>
        </is>
      </c>
      <c r="F43" s="24" t="inlineStr">
        <is>
          <t>https://www.arista.com/assets/data/pdf/Datasheets/CCS-710XP-Datasheet.pdf</t>
        </is>
      </c>
      <c r="G43" s="23" t="inlineStr">
        <is>
          <t>CCS-710XP-12TH-2S, CCS-710XP-28TNH-2S</t>
        </is>
      </c>
      <c r="H43" s="23" t="inlineStr">
        <is>
          <t>공식 데이터시트</t>
        </is>
      </c>
      <c r="I43" s="23" t="inlineStr">
        <is>
          <t>2026-09-08</t>
        </is>
      </c>
      <c r="J43" s="23" t="inlineStr">
        <is>
          <t>공식 Arista PDF</t>
        </is>
      </c>
    </row>
    <row r="44" ht="62" customHeight="1">
      <c r="A44" s="17" t="n">
        <v>39</v>
      </c>
      <c r="B44" s="19" t="inlineStr">
        <is>
          <t>유선 스위치</t>
        </is>
      </c>
      <c r="C44" s="19" t="inlineStr">
        <is>
          <t>720XPM/XDM</t>
        </is>
      </c>
      <c r="D44" s="19" t="inlineStr">
        <is>
          <t>Arista 720XPM/XDM Datasheet</t>
        </is>
      </c>
      <c r="E44" s="19" t="inlineStr">
        <is>
          <t>Datasheet</t>
        </is>
      </c>
      <c r="F44" s="21" t="inlineStr">
        <is>
          <t>https://www.arista.com/assets/data/pdf/Datasheets/CCS-720XPM-Datasheet.pdf</t>
        </is>
      </c>
      <c r="G44" s="19" t="inlineStr">
        <is>
          <t>CCS-720XPM-48TH-6SY, CCS-720XDM-48T-6SY, CCS-720XDM-32S-6SY</t>
        </is>
      </c>
      <c r="H44" s="19" t="inlineStr">
        <is>
          <t>공식 데이터시트</t>
        </is>
      </c>
      <c r="I44" s="19" t="inlineStr">
        <is>
          <t>2026-09-08</t>
        </is>
      </c>
      <c r="J44" s="19" t="inlineStr">
        <is>
          <t>공식 Arista PDF</t>
        </is>
      </c>
    </row>
    <row r="45" ht="62" customHeight="1">
      <c r="A45" s="22" t="n">
        <v>40</v>
      </c>
      <c r="B45" s="23" t="inlineStr">
        <is>
          <t>유선 스위치</t>
        </is>
      </c>
      <c r="C45" s="23" t="inlineStr">
        <is>
          <t>720XP</t>
        </is>
      </c>
      <c r="D45" s="23" t="inlineStr">
        <is>
          <t>Arista 720XP Datasheet</t>
        </is>
      </c>
      <c r="E45" s="23" t="inlineStr">
        <is>
          <t>Datasheet</t>
        </is>
      </c>
      <c r="F45" s="24" t="inlineStr">
        <is>
          <t>https://www.arista.com/assets/data/pdf/Datasheets/CCS-720XP-Datasheet.pdf</t>
        </is>
      </c>
      <c r="G45" s="23" t="inlineStr">
        <is>
          <t>CCS-720XP-96ZC2, CCS-720XP-48ZC2, CCS-720XP-24ZY4, CCS-720XP-48Y6, CCS-720XP-24Y6, CCS-720XP-48TXH-2C-S</t>
        </is>
      </c>
      <c r="H45" s="23" t="inlineStr">
        <is>
          <t>공식 데이터시트</t>
        </is>
      </c>
      <c r="I45" s="23" t="inlineStr">
        <is>
          <t>2026-09-08</t>
        </is>
      </c>
      <c r="J45" s="23" t="inlineStr">
        <is>
          <t>공식 Arista PDF</t>
        </is>
      </c>
    </row>
    <row r="46" ht="62" customHeight="1">
      <c r="A46" s="17" t="n">
        <v>41</v>
      </c>
      <c r="B46" s="19" t="inlineStr">
        <is>
          <t>유선 스위치</t>
        </is>
      </c>
      <c r="C46" s="19" t="inlineStr">
        <is>
          <t>722XPM</t>
        </is>
      </c>
      <c r="D46" s="19" t="inlineStr">
        <is>
          <t>Arista 722XPM Datasheet</t>
        </is>
      </c>
      <c r="E46" s="19" t="inlineStr">
        <is>
          <t>Datasheet</t>
        </is>
      </c>
      <c r="F46" s="21" t="inlineStr">
        <is>
          <t>https://www.arista.com/assets/data/pdf/Datasheets/CCS-722XP-Datasheet.pdf</t>
        </is>
      </c>
      <c r="G46" s="19" t="inlineStr">
        <is>
          <t>CCS-722XPM-48ZY8, CCS-722XPM-48Y4</t>
        </is>
      </c>
      <c r="H46" s="19" t="inlineStr">
        <is>
          <t>공식 데이터시트</t>
        </is>
      </c>
      <c r="I46" s="19" t="inlineStr">
        <is>
          <t>2026-09-08</t>
        </is>
      </c>
      <c r="J46" s="19" t="inlineStr">
        <is>
          <t>공식 Arista PDF</t>
        </is>
      </c>
    </row>
    <row r="47" ht="62" customHeight="1">
      <c r="A47" s="22" t="n">
        <v>42</v>
      </c>
      <c r="B47" s="23" t="inlineStr">
        <is>
          <t>유선 스위치</t>
        </is>
      </c>
      <c r="C47" s="23" t="inlineStr">
        <is>
          <t>720D</t>
        </is>
      </c>
      <c r="D47" s="23" t="inlineStr">
        <is>
          <t>Arista 720D Datasheet</t>
        </is>
      </c>
      <c r="E47" s="23" t="inlineStr">
        <is>
          <t>Datasheet</t>
        </is>
      </c>
      <c r="F47" s="24" t="inlineStr">
        <is>
          <t>https://www.arista.com/assets/data/pdf/Datasheets/CCS-720D-Datasheet.pdf</t>
        </is>
      </c>
      <c r="G47" s="23" t="inlineStr">
        <is>
          <t>CCS-720DP-24S, CCS-720DP-48S, CCS-720DT-24S, CCS-720DT-48S, CCS-720DP-24ZS, CCS-720DP-48ZS, CCS-720DF-48Y</t>
        </is>
      </c>
      <c r="H47" s="23" t="inlineStr">
        <is>
          <t>공식 데이터시트</t>
        </is>
      </c>
      <c r="I47" s="23" t="inlineStr">
        <is>
          <t>2026-09-08</t>
        </is>
      </c>
      <c r="J47" s="23" t="inlineStr">
        <is>
          <t>공식 Arista PDF</t>
        </is>
      </c>
    </row>
    <row r="48" ht="62" customHeight="1">
      <c r="A48" s="17" t="n">
        <v>43</v>
      </c>
      <c r="B48" s="19" t="inlineStr">
        <is>
          <t>유선 스위치</t>
        </is>
      </c>
      <c r="C48" s="19" t="inlineStr">
        <is>
          <t>710P</t>
        </is>
      </c>
      <c r="D48" s="19" t="inlineStr">
        <is>
          <t>Arista 710P Datasheet</t>
        </is>
      </c>
      <c r="E48" s="19" t="inlineStr">
        <is>
          <t>Datasheet</t>
        </is>
      </c>
      <c r="F48" s="21" t="inlineStr">
        <is>
          <t>https://www.arista.com/assets/data/pdf/Datasheets/CCS-710P-Datasheet.pdf</t>
        </is>
      </c>
      <c r="G48" s="19" t="inlineStr">
        <is>
          <t>CCS-710P-12, CCS-710P-16P</t>
        </is>
      </c>
      <c r="H48" s="19" t="inlineStr">
        <is>
          <t>공식 데이터시트</t>
        </is>
      </c>
      <c r="I48" s="19" t="inlineStr">
        <is>
          <t>2026-09-08</t>
        </is>
      </c>
      <c r="J48" s="19" t="inlineStr">
        <is>
          <t>공식 Arista PDF</t>
        </is>
      </c>
    </row>
    <row r="49" ht="62" customHeight="1">
      <c r="A49" s="32" t="n">
        <v>44</v>
      </c>
      <c r="B49" s="33" t="inlineStr">
        <is>
          <t>무선 AP</t>
        </is>
      </c>
      <c r="C49" s="33" t="inlineStr">
        <is>
          <t>C-460</t>
        </is>
      </c>
      <c r="D49" s="33" t="inlineStr">
        <is>
          <t>Arista C-460 Datasheet</t>
        </is>
      </c>
      <c r="E49" s="33" t="inlineStr">
        <is>
          <t>Datasheet</t>
        </is>
      </c>
      <c r="F49" s="34" t="inlineStr">
        <is>
          <t>https://www.arista.com/assets/data/pdf/Datasheets/Arista-C-460-Datasheet.pdf</t>
        </is>
      </c>
      <c r="G49" s="33" t="inlineStr">
        <is>
          <t>C-460</t>
        </is>
      </c>
      <c r="H49" s="33" t="inlineStr">
        <is>
          <t>공식 데이터시트</t>
        </is>
      </c>
      <c r="I49" s="33" t="inlineStr">
        <is>
          <t>2026-09-08</t>
        </is>
      </c>
      <c r="J49" s="33" t="inlineStr"/>
    </row>
    <row r="50" ht="62" customHeight="1">
      <c r="A50" s="17" t="n">
        <v>45</v>
      </c>
      <c r="B50" s="19" t="inlineStr">
        <is>
          <t>무선 AP</t>
        </is>
      </c>
      <c r="C50" s="19" t="inlineStr">
        <is>
          <t>C-460D</t>
        </is>
      </c>
      <c r="D50" s="19" t="inlineStr">
        <is>
          <t>Arista C-460D Datasheet</t>
        </is>
      </c>
      <c r="E50" s="19" t="inlineStr">
        <is>
          <t>Datasheet</t>
        </is>
      </c>
      <c r="F50" s="21" t="inlineStr">
        <is>
          <t>https://www.arista.com/assets/data/pdf/Datasheets/Arista-C-460D-Datasheet.pdf</t>
        </is>
      </c>
      <c r="G50" s="19" t="inlineStr">
        <is>
          <t>C-460D</t>
        </is>
      </c>
      <c r="H50" s="19" t="inlineStr">
        <is>
          <t>공식 데이터시트</t>
        </is>
      </c>
      <c r="I50" s="19" t="inlineStr">
        <is>
          <t>2026-09-08</t>
        </is>
      </c>
      <c r="J50" s="19" t="inlineStr"/>
    </row>
    <row r="51" ht="62" customHeight="1">
      <c r="A51" s="22" t="n">
        <v>46</v>
      </c>
      <c r="B51" s="23" t="inlineStr">
        <is>
          <t>무선 AP</t>
        </is>
      </c>
      <c r="C51" s="23" t="inlineStr">
        <is>
          <t>C-460E</t>
        </is>
      </c>
      <c r="D51" s="23" t="inlineStr">
        <is>
          <t>Arista C-460E Datasheet</t>
        </is>
      </c>
      <c r="E51" s="23" t="inlineStr">
        <is>
          <t>Datasheet</t>
        </is>
      </c>
      <c r="F51" s="24" t="inlineStr">
        <is>
          <t>https://www.arista.com/assets/data/pdf/Datasheets/Arista-C-460E-Datasheet.pdf</t>
        </is>
      </c>
      <c r="G51" s="23" t="inlineStr">
        <is>
          <t>C-460E</t>
        </is>
      </c>
      <c r="H51" s="23" t="inlineStr">
        <is>
          <t>공식 데이터시트</t>
        </is>
      </c>
      <c r="I51" s="23" t="inlineStr">
        <is>
          <t>2026-09-08</t>
        </is>
      </c>
      <c r="J51" s="23" t="inlineStr"/>
    </row>
    <row r="52" ht="62" customHeight="1">
      <c r="A52" s="17" t="n">
        <v>47</v>
      </c>
      <c r="B52" s="19" t="inlineStr">
        <is>
          <t>무선 AP</t>
        </is>
      </c>
      <c r="C52" s="19" t="inlineStr">
        <is>
          <t>C-430</t>
        </is>
      </c>
      <c r="D52" s="19" t="inlineStr">
        <is>
          <t>Arista C-430 Datasheet</t>
        </is>
      </c>
      <c r="E52" s="19" t="inlineStr">
        <is>
          <t>Datasheet</t>
        </is>
      </c>
      <c r="F52" s="21" t="inlineStr">
        <is>
          <t>https://www.arista.com/assets/data/pdf/Datasheets/Arista-C-430-Datasheet.pdf</t>
        </is>
      </c>
      <c r="G52" s="19" t="inlineStr">
        <is>
          <t>C-430</t>
        </is>
      </c>
      <c r="H52" s="19" t="inlineStr">
        <is>
          <t>공식 데이터시트</t>
        </is>
      </c>
      <c r="I52" s="19" t="inlineStr">
        <is>
          <t>2026-09-08</t>
        </is>
      </c>
      <c r="J52" s="19" t="inlineStr"/>
    </row>
    <row r="53" ht="62" customHeight="1">
      <c r="A53" s="22" t="n">
        <v>48</v>
      </c>
      <c r="B53" s="23" t="inlineStr">
        <is>
          <t>무선 AP</t>
        </is>
      </c>
      <c r="C53" s="23" t="inlineStr">
        <is>
          <t>C-400</t>
        </is>
      </c>
      <c r="D53" s="23" t="inlineStr">
        <is>
          <t>Arista C-400 Datasheet</t>
        </is>
      </c>
      <c r="E53" s="23" t="inlineStr">
        <is>
          <t>Datasheet</t>
        </is>
      </c>
      <c r="F53" s="24" t="inlineStr">
        <is>
          <t>https://www.arista.com/assets/data/pdf/Datasheets/Arista-C-400-Datasheet.pdf</t>
        </is>
      </c>
      <c r="G53" s="23" t="inlineStr">
        <is>
          <t>C-400</t>
        </is>
      </c>
      <c r="H53" s="23" t="inlineStr">
        <is>
          <t>공식 데이터시트</t>
        </is>
      </c>
      <c r="I53" s="23" t="inlineStr">
        <is>
          <t>2026-09-08</t>
        </is>
      </c>
      <c r="J53" s="23" t="inlineStr"/>
    </row>
    <row r="54" ht="62" customHeight="1">
      <c r="A54" s="17" t="n">
        <v>49</v>
      </c>
      <c r="B54" s="19" t="inlineStr">
        <is>
          <t>무선 AP</t>
        </is>
      </c>
      <c r="C54" s="19" t="inlineStr">
        <is>
          <t>O-435</t>
        </is>
      </c>
      <c r="D54" s="19" t="inlineStr">
        <is>
          <t>Arista O-435 Datasheet</t>
        </is>
      </c>
      <c r="E54" s="19" t="inlineStr">
        <is>
          <t>Datasheet</t>
        </is>
      </c>
      <c r="F54" s="21" t="inlineStr">
        <is>
          <t>https://www.arista.com/assets/data/pdf/Datasheets/Arista-O-435-Datasheet.pdf</t>
        </is>
      </c>
      <c r="G54" s="19" t="inlineStr">
        <is>
          <t>O-435</t>
        </is>
      </c>
      <c r="H54" s="19" t="inlineStr">
        <is>
          <t>공식 데이터시트</t>
        </is>
      </c>
      <c r="I54" s="19" t="inlineStr">
        <is>
          <t>2026-09-08</t>
        </is>
      </c>
      <c r="J54" s="19" t="inlineStr"/>
    </row>
    <row r="55" ht="62" customHeight="1">
      <c r="A55" s="22" t="n">
        <v>50</v>
      </c>
      <c r="B55" s="23" t="inlineStr">
        <is>
          <t>무선 AP</t>
        </is>
      </c>
      <c r="C55" s="23" t="inlineStr">
        <is>
          <t>O-435E</t>
        </is>
      </c>
      <c r="D55" s="23" t="inlineStr">
        <is>
          <t>Arista O-435E Datasheet</t>
        </is>
      </c>
      <c r="E55" s="23" t="inlineStr">
        <is>
          <t>Datasheet</t>
        </is>
      </c>
      <c r="F55" s="24" t="inlineStr">
        <is>
          <t>https://www.arista.com/assets/data/pdf/Datasheets/Arista-O-435E-Datasheet.pdf</t>
        </is>
      </c>
      <c r="G55" s="23" t="inlineStr">
        <is>
          <t>O-435E</t>
        </is>
      </c>
      <c r="H55" s="23" t="inlineStr">
        <is>
          <t>공식 데이터시트</t>
        </is>
      </c>
      <c r="I55" s="23" t="inlineStr">
        <is>
          <t>2026-09-08</t>
        </is>
      </c>
      <c r="J55" s="23" t="inlineStr"/>
    </row>
    <row r="56" ht="62" customHeight="1">
      <c r="A56" s="17" t="n">
        <v>51</v>
      </c>
      <c r="B56" s="19" t="inlineStr">
        <is>
          <t>무선 AP</t>
        </is>
      </c>
      <c r="C56" s="19" t="inlineStr">
        <is>
          <t>O-405</t>
        </is>
      </c>
      <c r="D56" s="19" t="inlineStr">
        <is>
          <t>Arista O-405 Datasheet</t>
        </is>
      </c>
      <c r="E56" s="19" t="inlineStr">
        <is>
          <t>Datasheet</t>
        </is>
      </c>
      <c r="F56" s="21" t="inlineStr">
        <is>
          <t>https://www.arista.com/assets/data/pdf/Datasheets/Arista-O-405-Datasheet.pdf</t>
        </is>
      </c>
      <c r="G56" s="19" t="inlineStr">
        <is>
          <t>O-405</t>
        </is>
      </c>
      <c r="H56" s="19" t="inlineStr">
        <is>
          <t>공식 데이터시트</t>
        </is>
      </c>
      <c r="I56" s="19" t="inlineStr">
        <is>
          <t>2026-09-08</t>
        </is>
      </c>
      <c r="J56" s="19" t="inlineStr"/>
    </row>
    <row r="57" ht="62" customHeight="1">
      <c r="A57" s="22" t="n">
        <v>52</v>
      </c>
      <c r="B57" s="23" t="inlineStr">
        <is>
          <t>무선 AP</t>
        </is>
      </c>
      <c r="C57" s="23" t="inlineStr">
        <is>
          <t>O-405E</t>
        </is>
      </c>
      <c r="D57" s="23" t="inlineStr">
        <is>
          <t>Arista O-405E Datasheet</t>
        </is>
      </c>
      <c r="E57" s="23" t="inlineStr">
        <is>
          <t>Datasheet</t>
        </is>
      </c>
      <c r="F57" s="24" t="inlineStr">
        <is>
          <t>https://www.arista.com/assets/data/pdf/Datasheets/Arista-O-405E-Datasheet.pdf</t>
        </is>
      </c>
      <c r="G57" s="23" t="inlineStr">
        <is>
          <t>O-405E</t>
        </is>
      </c>
      <c r="H57" s="23" t="inlineStr">
        <is>
          <t>공식 데이터시트</t>
        </is>
      </c>
      <c r="I57" s="23" t="inlineStr">
        <is>
          <t>2026-09-08</t>
        </is>
      </c>
      <c r="J57" s="23" t="inlineStr">
        <is>
          <t>4x N-Type 확인; 2026-01 안테나 가이드 호환표 미표기</t>
        </is>
      </c>
    </row>
    <row r="58" ht="62" customHeight="1">
      <c r="A58" s="17" t="n">
        <v>53</v>
      </c>
      <c r="B58" s="19" t="inlineStr">
        <is>
          <t>무선 AP</t>
        </is>
      </c>
      <c r="C58" s="19" t="inlineStr">
        <is>
          <t>C-360</t>
        </is>
      </c>
      <c r="D58" s="19" t="inlineStr">
        <is>
          <t>Arista C-360 Datasheet</t>
        </is>
      </c>
      <c r="E58" s="19" t="inlineStr">
        <is>
          <t>Datasheet</t>
        </is>
      </c>
      <c r="F58" s="21" t="inlineStr">
        <is>
          <t>https://www.arista.com/assets/data/pdf/Datasheets/Arista-C-360-Datasheet.pdf</t>
        </is>
      </c>
      <c r="G58" s="19" t="inlineStr">
        <is>
          <t>C-360</t>
        </is>
      </c>
      <c r="H58" s="19" t="inlineStr">
        <is>
          <t>공식 데이터시트</t>
        </is>
      </c>
      <c r="I58" s="19" t="inlineStr">
        <is>
          <t>2026-09-08</t>
        </is>
      </c>
      <c r="J58" s="19" t="inlineStr"/>
    </row>
    <row r="59" ht="62" customHeight="1">
      <c r="A59" s="22" t="n">
        <v>54</v>
      </c>
      <c r="B59" s="23" t="inlineStr">
        <is>
          <t>무선 AP</t>
        </is>
      </c>
      <c r="C59" s="23" t="inlineStr">
        <is>
          <t>C-330</t>
        </is>
      </c>
      <c r="D59" s="23" t="inlineStr">
        <is>
          <t>Arista C-330 Datasheet</t>
        </is>
      </c>
      <c r="E59" s="23" t="inlineStr">
        <is>
          <t>Datasheet</t>
        </is>
      </c>
      <c r="F59" s="24" t="inlineStr">
        <is>
          <t>https://www.arista.com/assets/data/pdf/Datasheets/Arista-C-330-Datasheet.pdf</t>
        </is>
      </c>
      <c r="G59" s="23" t="inlineStr">
        <is>
          <t>C-330</t>
        </is>
      </c>
      <c r="H59" s="23" t="inlineStr">
        <is>
          <t>공식 데이터시트</t>
        </is>
      </c>
      <c r="I59" s="23" t="inlineStr">
        <is>
          <t>2026-09-08</t>
        </is>
      </c>
      <c r="J59" s="23" t="inlineStr"/>
    </row>
    <row r="60" ht="62" customHeight="1">
      <c r="A60" s="17" t="n">
        <v>55</v>
      </c>
      <c r="B60" s="19" t="inlineStr">
        <is>
          <t>무선 AP</t>
        </is>
      </c>
      <c r="C60" s="19" t="inlineStr">
        <is>
          <t>W-318</t>
        </is>
      </c>
      <c r="D60" s="19" t="inlineStr">
        <is>
          <t>Arista W-318 Datasheet</t>
        </is>
      </c>
      <c r="E60" s="19" t="inlineStr">
        <is>
          <t>Datasheet</t>
        </is>
      </c>
      <c r="F60" s="21" t="inlineStr">
        <is>
          <t>https://www.arista.com/assets/data/pdf/Datasheets/Arista-W-318-Datasheet.pdf</t>
        </is>
      </c>
      <c r="G60" s="19" t="inlineStr">
        <is>
          <t>W-318</t>
        </is>
      </c>
      <c r="H60" s="19" t="inlineStr">
        <is>
          <t>공식 데이터시트</t>
        </is>
      </c>
      <c r="I60" s="19" t="inlineStr">
        <is>
          <t>2026-09-08</t>
        </is>
      </c>
      <c r="J60" s="19" t="inlineStr"/>
    </row>
    <row r="61" ht="62" customHeight="1">
      <c r="A61" s="22" t="n">
        <v>56</v>
      </c>
      <c r="B61" s="23" t="inlineStr">
        <is>
          <t>무선 AP</t>
        </is>
      </c>
      <c r="C61" s="23" t="inlineStr">
        <is>
          <t>C-260</t>
        </is>
      </c>
      <c r="D61" s="23" t="inlineStr">
        <is>
          <t>Arista C-260 Datasheet</t>
        </is>
      </c>
      <c r="E61" s="23" t="inlineStr">
        <is>
          <t>Datasheet</t>
        </is>
      </c>
      <c r="F61" s="24" t="inlineStr">
        <is>
          <t>https://www.arista.com/assets/data/pdf/Datasheets/Arista-C-260-Datasheet.pdf</t>
        </is>
      </c>
      <c r="G61" s="23" t="inlineStr">
        <is>
          <t>C-260</t>
        </is>
      </c>
      <c r="H61" s="23" t="inlineStr">
        <is>
          <t>공식 데이터시트</t>
        </is>
      </c>
      <c r="I61" s="23" t="inlineStr">
        <is>
          <t>2026-09-08</t>
        </is>
      </c>
      <c r="J61" s="23" t="inlineStr"/>
    </row>
    <row r="62" ht="62" customHeight="1">
      <c r="A62" s="17" t="n">
        <v>57</v>
      </c>
      <c r="B62" s="19" t="inlineStr">
        <is>
          <t>무선 AP</t>
        </is>
      </c>
      <c r="C62" s="19" t="inlineStr">
        <is>
          <t>C-250</t>
        </is>
      </c>
      <c r="D62" s="19" t="inlineStr">
        <is>
          <t>Arista C-250 Datasheet</t>
        </is>
      </c>
      <c r="E62" s="19" t="inlineStr">
        <is>
          <t>Datasheet</t>
        </is>
      </c>
      <c r="F62" s="21" t="inlineStr">
        <is>
          <t>https://www.arista.com/assets/data/pdf/Datasheets/Arista-C-250-Datasheet.pdf</t>
        </is>
      </c>
      <c r="G62" s="19" t="inlineStr">
        <is>
          <t>C-250</t>
        </is>
      </c>
      <c r="H62" s="19" t="inlineStr">
        <is>
          <t>공식 데이터시트</t>
        </is>
      </c>
      <c r="I62" s="19" t="inlineStr">
        <is>
          <t>2026-09-08</t>
        </is>
      </c>
      <c r="J62" s="19" t="inlineStr">
        <is>
          <t>Key Specifications와 본문 MIMO 표기 상충 주의</t>
        </is>
      </c>
    </row>
    <row r="63" ht="62" customHeight="1">
      <c r="A63" s="22" t="n">
        <v>58</v>
      </c>
      <c r="B63" s="23" t="inlineStr">
        <is>
          <t>무선 AP</t>
        </is>
      </c>
      <c r="C63" s="23" t="inlineStr">
        <is>
          <t>C-230</t>
        </is>
      </c>
      <c r="D63" s="23" t="inlineStr">
        <is>
          <t>Arista C-230 Datasheet</t>
        </is>
      </c>
      <c r="E63" s="23" t="inlineStr">
        <is>
          <t>Datasheet</t>
        </is>
      </c>
      <c r="F63" s="24" t="inlineStr">
        <is>
          <t>https://www.arista.com/assets/data/pdf/Datasheets/Arista-C-230-Datasheet.pdf</t>
        </is>
      </c>
      <c r="G63" s="23" t="inlineStr">
        <is>
          <t>C-230</t>
        </is>
      </c>
      <c r="H63" s="23" t="inlineStr">
        <is>
          <t>공식 데이터시트</t>
        </is>
      </c>
      <c r="I63" s="23" t="inlineStr">
        <is>
          <t>2026-09-08</t>
        </is>
      </c>
      <c r="J63" s="23" t="inlineStr"/>
    </row>
    <row r="64" ht="62" customHeight="1">
      <c r="A64" s="17" t="n">
        <v>59</v>
      </c>
      <c r="B64" s="19" t="inlineStr">
        <is>
          <t>무선 AP</t>
        </is>
      </c>
      <c r="C64" s="19" t="inlineStr">
        <is>
          <t>C-230E</t>
        </is>
      </c>
      <c r="D64" s="19" t="inlineStr">
        <is>
          <t>Arista C-230E Datasheet</t>
        </is>
      </c>
      <c r="E64" s="19" t="inlineStr">
        <is>
          <t>Datasheet</t>
        </is>
      </c>
      <c r="F64" s="21" t="inlineStr">
        <is>
          <t>https://www.arista.com/assets/data/pdf/Datasheets/Arista-C-230E-Datasheet.pdf</t>
        </is>
      </c>
      <c r="G64" s="19" t="inlineStr">
        <is>
          <t>C-230E</t>
        </is>
      </c>
      <c r="H64" s="19" t="inlineStr">
        <is>
          <t>공식 데이터시트</t>
        </is>
      </c>
      <c r="I64" s="19" t="inlineStr">
        <is>
          <t>2026-09-08</t>
        </is>
      </c>
      <c r="J64" s="19" t="inlineStr"/>
    </row>
    <row r="65" ht="62" customHeight="1">
      <c r="A65" s="22" t="n">
        <v>60</v>
      </c>
      <c r="B65" s="23" t="inlineStr">
        <is>
          <t>무선 AP</t>
        </is>
      </c>
      <c r="C65" s="23" t="inlineStr">
        <is>
          <t>O-235</t>
        </is>
      </c>
      <c r="D65" s="23" t="inlineStr">
        <is>
          <t>Arista O-235 Datasheet</t>
        </is>
      </c>
      <c r="E65" s="23" t="inlineStr">
        <is>
          <t>Datasheet</t>
        </is>
      </c>
      <c r="F65" s="24" t="inlineStr">
        <is>
          <t>https://www.arista.com/assets/data/pdf/Datasheets/Arista-O235-Datasheet.pdf</t>
        </is>
      </c>
      <c r="G65" s="23" t="inlineStr">
        <is>
          <t>O-235</t>
        </is>
      </c>
      <c r="H65" s="23" t="inlineStr">
        <is>
          <t>공식 데이터시트</t>
        </is>
      </c>
      <c r="I65" s="23" t="inlineStr">
        <is>
          <t>2026-09-08</t>
        </is>
      </c>
      <c r="J65" s="23" t="inlineStr"/>
    </row>
    <row r="66" ht="62" customHeight="1">
      <c r="A66" s="17" t="n">
        <v>61</v>
      </c>
      <c r="B66" s="19" t="inlineStr">
        <is>
          <t>무선 AP</t>
        </is>
      </c>
      <c r="C66" s="19" t="inlineStr">
        <is>
          <t>O-235E</t>
        </is>
      </c>
      <c r="D66" s="19" t="inlineStr">
        <is>
          <t>Arista O-235E Datasheet</t>
        </is>
      </c>
      <c r="E66" s="19" t="inlineStr">
        <is>
          <t>Datasheet</t>
        </is>
      </c>
      <c r="F66" s="21" t="inlineStr">
        <is>
          <t>https://www.arista.com/assets/data/pdf/Datasheets/Arista-O235E-Datasheet.pdf</t>
        </is>
      </c>
      <c r="G66" s="19" t="inlineStr">
        <is>
          <t>O-235E</t>
        </is>
      </c>
      <c r="H66" s="19" t="inlineStr">
        <is>
          <t>공식 데이터시트</t>
        </is>
      </c>
      <c r="I66" s="19" t="inlineStr">
        <is>
          <t>2026-09-08</t>
        </is>
      </c>
      <c r="J66" s="19" t="inlineStr"/>
    </row>
    <row r="67" ht="62" customHeight="1">
      <c r="A67" s="22" t="n">
        <v>62</v>
      </c>
      <c r="B67" s="23" t="inlineStr">
        <is>
          <t>무선 AP</t>
        </is>
      </c>
      <c r="C67" s="23" t="inlineStr">
        <is>
          <t>C-200</t>
        </is>
      </c>
      <c r="D67" s="23" t="inlineStr">
        <is>
          <t>Arista C-200 Datasheet</t>
        </is>
      </c>
      <c r="E67" s="23" t="inlineStr">
        <is>
          <t>Datasheet</t>
        </is>
      </c>
      <c r="F67" s="24" t="inlineStr">
        <is>
          <t>https://www.arista.com/assets/data/pdf/Datasheets/Arista-C-200-Datasheet.pdf</t>
        </is>
      </c>
      <c r="G67" s="23" t="inlineStr">
        <is>
          <t>C-200</t>
        </is>
      </c>
      <c r="H67" s="23" t="inlineStr">
        <is>
          <t>공식 데이터시트</t>
        </is>
      </c>
      <c r="I67" s="23" t="inlineStr">
        <is>
          <t>2026-09-08</t>
        </is>
      </c>
      <c r="J67" s="23" t="inlineStr"/>
    </row>
    <row r="68" ht="62" customHeight="1">
      <c r="A68" s="25" t="n">
        <v>63</v>
      </c>
      <c r="B68" s="27" t="inlineStr">
        <is>
          <t>포트폴리오</t>
        </is>
      </c>
      <c r="C68" s="27" t="inlineStr">
        <is>
          <t>Switch Platforms</t>
        </is>
      </c>
      <c r="D68" s="27" t="inlineStr">
        <is>
          <t>Arista Switching Platforms</t>
        </is>
      </c>
      <c r="E68" s="27" t="inlineStr">
        <is>
          <t>제품 페이지</t>
        </is>
      </c>
      <c r="F68" s="30" t="inlineStr">
        <is>
          <t>https://www.arista.com/en/products/platforms</t>
        </is>
      </c>
      <c r="G68" s="27" t="inlineStr">
        <is>
          <t>DCS 및 CCS 포트폴리오 탐색/비교</t>
        </is>
      </c>
      <c r="H68" s="27" t="inlineStr">
        <is>
          <t>공식 웹 페이지</t>
        </is>
      </c>
      <c r="I68" s="27" t="inlineStr">
        <is>
          <t>2026-09-08</t>
        </is>
      </c>
      <c r="J68" s="27" t="inlineStr">
        <is>
          <t>현재 플랫폼 내비게이션과 비교표 확인</t>
        </is>
      </c>
    </row>
    <row r="69" ht="62" customHeight="1">
      <c r="A69" s="32" t="n">
        <v>64</v>
      </c>
      <c r="B69" s="33" t="inlineStr">
        <is>
          <t>무선 포트폴리오</t>
        </is>
      </c>
      <c r="C69" s="33" t="inlineStr">
        <is>
          <t>Wi-Fi 7</t>
        </is>
      </c>
      <c r="D69" s="33" t="inlineStr">
        <is>
          <t>Arista Wi-Fi 7 Series</t>
        </is>
      </c>
      <c r="E69" s="33" t="inlineStr">
        <is>
          <t>제품 페이지</t>
        </is>
      </c>
      <c r="F69" s="34" t="inlineStr">
        <is>
          <t>https://www.arista.com/en/products/wifi7-series</t>
        </is>
      </c>
      <c r="G69" s="33" t="inlineStr">
        <is>
          <t>C-400/430/460/460D/460E, O-405/405E/435/435E</t>
        </is>
      </c>
      <c r="H69" s="33" t="inlineStr">
        <is>
          <t>공식 웹 페이지</t>
        </is>
      </c>
      <c r="I69" s="33" t="inlineStr">
        <is>
          <t>2026-09-08</t>
        </is>
      </c>
      <c r="J69" s="33" t="inlineStr"/>
    </row>
    <row r="70" ht="62" customHeight="1">
      <c r="A70" s="17" t="n">
        <v>65</v>
      </c>
      <c r="B70" s="19" t="inlineStr">
        <is>
          <t>무선 포트폴리오</t>
        </is>
      </c>
      <c r="C70" s="19" t="inlineStr">
        <is>
          <t>Wi-Fi 6E</t>
        </is>
      </c>
      <c r="D70" s="19" t="inlineStr">
        <is>
          <t>Arista Wi-Fi 6E Series</t>
        </is>
      </c>
      <c r="E70" s="19" t="inlineStr">
        <is>
          <t>제품 페이지</t>
        </is>
      </c>
      <c r="F70" s="21" t="inlineStr">
        <is>
          <t>https://www.arista.com/en/products/wifi6e-series</t>
        </is>
      </c>
      <c r="G70" s="19" t="inlineStr">
        <is>
          <t>C-330, C-360, W-318</t>
        </is>
      </c>
      <c r="H70" s="19" t="inlineStr">
        <is>
          <t>공식 웹 페이지</t>
        </is>
      </c>
      <c r="I70" s="19" t="inlineStr">
        <is>
          <t>2026-09-08</t>
        </is>
      </c>
      <c r="J70" s="19" t="inlineStr"/>
    </row>
    <row r="71" ht="62" customHeight="1">
      <c r="A71" s="22" t="n">
        <v>66</v>
      </c>
      <c r="B71" s="23" t="inlineStr">
        <is>
          <t>무선 포트폴리오</t>
        </is>
      </c>
      <c r="C71" s="23" t="inlineStr">
        <is>
          <t>Wi-Fi 6</t>
        </is>
      </c>
      <c r="D71" s="23" t="inlineStr">
        <is>
          <t>Arista Wi-Fi 6 Series</t>
        </is>
      </c>
      <c r="E71" s="23" t="inlineStr">
        <is>
          <t>제품 페이지</t>
        </is>
      </c>
      <c r="F71" s="24" t="inlineStr">
        <is>
          <t>https://www.arista.com/en/products/wifi6-series</t>
        </is>
      </c>
      <c r="G71" s="23" t="inlineStr">
        <is>
          <t>C-200/230/230E/250/260, O-235/235E</t>
        </is>
      </c>
      <c r="H71" s="23" t="inlineStr">
        <is>
          <t>공식 웹 페이지</t>
        </is>
      </c>
      <c r="I71" s="23" t="inlineStr">
        <is>
          <t>2026-09-08</t>
        </is>
      </c>
      <c r="J71" s="23" t="inlineStr"/>
    </row>
    <row r="72" ht="62" customHeight="1">
      <c r="A72" s="25" t="n">
        <v>67</v>
      </c>
      <c r="B72" s="27" t="inlineStr">
        <is>
          <t>무선 관리</t>
        </is>
      </c>
      <c r="C72" s="27" t="inlineStr">
        <is>
          <t>CloudVision CUE</t>
        </is>
      </c>
      <c r="D72" s="27" t="inlineStr">
        <is>
          <t>CloudVision Cognitive Unified Edge</t>
        </is>
      </c>
      <c r="E72" s="27" t="inlineStr">
        <is>
          <t>제품 페이지</t>
        </is>
      </c>
      <c r="F72" s="30" t="inlineStr">
        <is>
          <t>https://www.arista.com/en/products/cloudvision-cue</t>
        </is>
      </c>
      <c r="G72" s="27" t="inlineStr">
        <is>
          <t>Arista AP 및 cognitive campus 관리</t>
        </is>
      </c>
      <c r="H72" s="27" t="inlineStr">
        <is>
          <t>공식 웹 페이지</t>
        </is>
      </c>
      <c r="I72" s="27" t="inlineStr">
        <is>
          <t>2026-09-08</t>
        </is>
      </c>
      <c r="J72" s="27" t="inlineStr">
        <is>
          <t>관리/운영 플랫폼 참고</t>
        </is>
      </c>
    </row>
    <row r="73" ht="62" customHeight="1">
      <c r="A73" s="32" t="n">
        <v>68</v>
      </c>
      <c r="B73" s="33" t="inlineStr">
        <is>
          <t>무선 비교</t>
        </is>
      </c>
      <c r="C73" s="33" t="inlineStr">
        <is>
          <t>AP 전체</t>
        </is>
      </c>
      <c r="D73" s="33" t="inlineStr">
        <is>
          <t>Arista AP Comparison Matrix</t>
        </is>
      </c>
      <c r="E73" s="33" t="inlineStr">
        <is>
          <t>Comparison Matrix</t>
        </is>
      </c>
      <c r="F73" s="34" t="inlineStr">
        <is>
          <t>https://www.arista.com/assets/data/pdf/Datasheets/AP-Comparison-Matrix-Datasheet-WiFi6.pdf</t>
        </is>
      </c>
      <c r="G73" s="33" t="inlineStr">
        <is>
          <t>19개 AP 모델 비교</t>
        </is>
      </c>
      <c r="H73" s="33" t="inlineStr">
        <is>
          <t>공식 PDF (2026-06-02 기준 확인)</t>
        </is>
      </c>
      <c r="I73" s="33" t="inlineStr">
        <is>
          <t>2026-09-08</t>
        </is>
      </c>
      <c r="J73" s="33" t="inlineStr">
        <is>
          <t>세대·radio·Ethernet·power 비교의 우선 근거</t>
        </is>
      </c>
    </row>
    <row r="74" ht="62" customHeight="1">
      <c r="A74" s="25" t="n">
        <v>69</v>
      </c>
      <c r="B74" s="27" t="inlineStr">
        <is>
          <t>무선 액세서리</t>
        </is>
      </c>
      <c r="C74" s="27" t="inlineStr">
        <is>
          <t>AP Mounting</t>
        </is>
      </c>
      <c r="D74" s="27" t="inlineStr">
        <is>
          <t>AP Mounting Brackets Datasheet</t>
        </is>
      </c>
      <c r="E74" s="27" t="inlineStr">
        <is>
          <t>Accessory Guide</t>
        </is>
      </c>
      <c r="F74" s="30" t="inlineStr">
        <is>
          <t>https://www.arista.com/assets/data/pdf/Datasheets/AP-Mounting-Brackets-Datasheet.pdf</t>
        </is>
      </c>
      <c r="G74" s="27" t="inlineStr">
        <is>
          <t>C-series 및 O-series 설치 브래킷</t>
        </is>
      </c>
      <c r="H74" s="27" t="inlineStr">
        <is>
          <t>공식 PDF</t>
        </is>
      </c>
      <c r="I74" s="27" t="inlineStr">
        <is>
          <t>2026-09-08</t>
        </is>
      </c>
      <c r="J74" s="27" t="inlineStr">
        <is>
          <t>8개 mounting option 정리</t>
        </is>
      </c>
    </row>
    <row r="75" ht="62" customHeight="1">
      <c r="A75" s="22" t="n">
        <v>70</v>
      </c>
      <c r="B75" s="23" t="inlineStr">
        <is>
          <t>무선 액세서리</t>
        </is>
      </c>
      <c r="C75" s="23" t="inlineStr">
        <is>
          <t>External Antennas</t>
        </is>
      </c>
      <c r="D75" s="23" t="inlineStr">
        <is>
          <t>Antenna Selection Guide</t>
        </is>
      </c>
      <c r="E75" s="23" t="inlineStr">
        <is>
          <t>Accessory Guide</t>
        </is>
      </c>
      <c r="F75" s="24" t="inlineStr">
        <is>
          <t>https://www.arista.com/assets/data/pdf/Datasheets/Antenna-Selection-Guide.pdf</t>
        </is>
      </c>
      <c r="G75" s="23" t="inlineStr">
        <is>
          <t>C-460E/C-230E/O-435E/O-235E</t>
        </is>
      </c>
      <c r="H75" s="23" t="inlineStr">
        <is>
          <t>공식 PDF (2026-01 기준 확인)</t>
        </is>
      </c>
      <c r="I75" s="23" t="inlineStr">
        <is>
          <t>2026-09-08</t>
        </is>
      </c>
      <c r="J75" s="23" t="inlineStr">
        <is>
          <t>39개 안테나 및 AP 호환성 정리; O-405E 미표기</t>
        </is>
      </c>
    </row>
  </sheetData>
  <autoFilter ref="A5:J75"/>
  <mergeCells count="3">
    <mergeCell ref="A1:J1"/>
    <mergeCell ref="A3:J3"/>
    <mergeCell ref="A2:J2"/>
  </mergeCells>
  <hyperlinks>
    <hyperlink xmlns:r="http://schemas.openxmlformats.org/officeDocument/2006/relationships" ref="F6" r:id="rId1"/>
    <hyperlink xmlns:r="http://schemas.openxmlformats.org/officeDocument/2006/relationships" ref="F7" r:id="rId2"/>
    <hyperlink xmlns:r="http://schemas.openxmlformats.org/officeDocument/2006/relationships" ref="F8" r:id="rId3"/>
    <hyperlink xmlns:r="http://schemas.openxmlformats.org/officeDocument/2006/relationships" ref="F9" r:id="rId4"/>
    <hyperlink xmlns:r="http://schemas.openxmlformats.org/officeDocument/2006/relationships" ref="F10" r:id="rId5"/>
    <hyperlink xmlns:r="http://schemas.openxmlformats.org/officeDocument/2006/relationships" ref="F11" r:id="rId6"/>
    <hyperlink xmlns:r="http://schemas.openxmlformats.org/officeDocument/2006/relationships" ref="F12" r:id="rId7"/>
    <hyperlink xmlns:r="http://schemas.openxmlformats.org/officeDocument/2006/relationships" ref="F13" r:id="rId8"/>
    <hyperlink xmlns:r="http://schemas.openxmlformats.org/officeDocument/2006/relationships" ref="F14" r:id="rId9"/>
    <hyperlink xmlns:r="http://schemas.openxmlformats.org/officeDocument/2006/relationships" ref="F15" r:id="rId10"/>
    <hyperlink xmlns:r="http://schemas.openxmlformats.org/officeDocument/2006/relationships" ref="F16" r:id="rId11"/>
    <hyperlink xmlns:r="http://schemas.openxmlformats.org/officeDocument/2006/relationships" ref="F17" r:id="rId12"/>
    <hyperlink xmlns:r="http://schemas.openxmlformats.org/officeDocument/2006/relationships" ref="F18" r:id="rId13"/>
    <hyperlink xmlns:r="http://schemas.openxmlformats.org/officeDocument/2006/relationships" ref="F19" r:id="rId14"/>
    <hyperlink xmlns:r="http://schemas.openxmlformats.org/officeDocument/2006/relationships" ref="F20" r:id="rId15"/>
    <hyperlink xmlns:r="http://schemas.openxmlformats.org/officeDocument/2006/relationships" ref="F21" r:id="rId16"/>
    <hyperlink xmlns:r="http://schemas.openxmlformats.org/officeDocument/2006/relationships" ref="F22" r:id="rId17"/>
    <hyperlink xmlns:r="http://schemas.openxmlformats.org/officeDocument/2006/relationships" ref="F23" r:id="rId18"/>
    <hyperlink xmlns:r="http://schemas.openxmlformats.org/officeDocument/2006/relationships" ref="F24" r:id="rId19"/>
    <hyperlink xmlns:r="http://schemas.openxmlformats.org/officeDocument/2006/relationships" ref="F25" r:id="rId20"/>
    <hyperlink xmlns:r="http://schemas.openxmlformats.org/officeDocument/2006/relationships" ref="F26" r:id="rId21"/>
    <hyperlink xmlns:r="http://schemas.openxmlformats.org/officeDocument/2006/relationships" ref="F27" r:id="rId22"/>
    <hyperlink xmlns:r="http://schemas.openxmlformats.org/officeDocument/2006/relationships" ref="F28" r:id="rId23"/>
    <hyperlink xmlns:r="http://schemas.openxmlformats.org/officeDocument/2006/relationships" ref="F29" r:id="rId24"/>
    <hyperlink xmlns:r="http://schemas.openxmlformats.org/officeDocument/2006/relationships" ref="F30" r:id="rId25"/>
    <hyperlink xmlns:r="http://schemas.openxmlformats.org/officeDocument/2006/relationships" ref="F31" r:id="rId26"/>
    <hyperlink xmlns:r="http://schemas.openxmlformats.org/officeDocument/2006/relationships" ref="F32" r:id="rId27"/>
    <hyperlink xmlns:r="http://schemas.openxmlformats.org/officeDocument/2006/relationships" ref="F33" r:id="rId28"/>
    <hyperlink xmlns:r="http://schemas.openxmlformats.org/officeDocument/2006/relationships" ref="F34" r:id="rId29"/>
    <hyperlink xmlns:r="http://schemas.openxmlformats.org/officeDocument/2006/relationships" ref="F35" r:id="rId30"/>
    <hyperlink xmlns:r="http://schemas.openxmlformats.org/officeDocument/2006/relationships" ref="F36" r:id="rId31"/>
    <hyperlink xmlns:r="http://schemas.openxmlformats.org/officeDocument/2006/relationships" ref="F37" r:id="rId32"/>
    <hyperlink xmlns:r="http://schemas.openxmlformats.org/officeDocument/2006/relationships" ref="F38" r:id="rId33"/>
    <hyperlink xmlns:r="http://schemas.openxmlformats.org/officeDocument/2006/relationships" ref="F39" r:id="rId34"/>
    <hyperlink xmlns:r="http://schemas.openxmlformats.org/officeDocument/2006/relationships" ref="F40" r:id="rId35"/>
    <hyperlink xmlns:r="http://schemas.openxmlformats.org/officeDocument/2006/relationships" ref="F41" r:id="rId36"/>
    <hyperlink xmlns:r="http://schemas.openxmlformats.org/officeDocument/2006/relationships" ref="F42" r:id="rId37"/>
    <hyperlink xmlns:r="http://schemas.openxmlformats.org/officeDocument/2006/relationships" ref="F43" r:id="rId38"/>
    <hyperlink xmlns:r="http://schemas.openxmlformats.org/officeDocument/2006/relationships" ref="F44" r:id="rId39"/>
    <hyperlink xmlns:r="http://schemas.openxmlformats.org/officeDocument/2006/relationships" ref="F45" r:id="rId40"/>
    <hyperlink xmlns:r="http://schemas.openxmlformats.org/officeDocument/2006/relationships" ref="F46" r:id="rId41"/>
    <hyperlink xmlns:r="http://schemas.openxmlformats.org/officeDocument/2006/relationships" ref="F47" r:id="rId42"/>
    <hyperlink xmlns:r="http://schemas.openxmlformats.org/officeDocument/2006/relationships" ref="F48" r:id="rId43"/>
    <hyperlink xmlns:r="http://schemas.openxmlformats.org/officeDocument/2006/relationships" ref="F49" r:id="rId44"/>
    <hyperlink xmlns:r="http://schemas.openxmlformats.org/officeDocument/2006/relationships" ref="F50" r:id="rId45"/>
    <hyperlink xmlns:r="http://schemas.openxmlformats.org/officeDocument/2006/relationships" ref="F51" r:id="rId46"/>
    <hyperlink xmlns:r="http://schemas.openxmlformats.org/officeDocument/2006/relationships" ref="F52" r:id="rId47"/>
    <hyperlink xmlns:r="http://schemas.openxmlformats.org/officeDocument/2006/relationships" ref="F53" r:id="rId48"/>
    <hyperlink xmlns:r="http://schemas.openxmlformats.org/officeDocument/2006/relationships" ref="F54" r:id="rId49"/>
    <hyperlink xmlns:r="http://schemas.openxmlformats.org/officeDocument/2006/relationships" ref="F55" r:id="rId50"/>
    <hyperlink xmlns:r="http://schemas.openxmlformats.org/officeDocument/2006/relationships" ref="F56" r:id="rId51"/>
    <hyperlink xmlns:r="http://schemas.openxmlformats.org/officeDocument/2006/relationships" ref="F57" r:id="rId52"/>
    <hyperlink xmlns:r="http://schemas.openxmlformats.org/officeDocument/2006/relationships" ref="F58" r:id="rId53"/>
    <hyperlink xmlns:r="http://schemas.openxmlformats.org/officeDocument/2006/relationships" ref="F59" r:id="rId54"/>
    <hyperlink xmlns:r="http://schemas.openxmlformats.org/officeDocument/2006/relationships" ref="F60" r:id="rId55"/>
    <hyperlink xmlns:r="http://schemas.openxmlformats.org/officeDocument/2006/relationships" ref="F61" r:id="rId56"/>
    <hyperlink xmlns:r="http://schemas.openxmlformats.org/officeDocument/2006/relationships" ref="F62" r:id="rId57"/>
    <hyperlink xmlns:r="http://schemas.openxmlformats.org/officeDocument/2006/relationships" ref="F63" r:id="rId58"/>
    <hyperlink xmlns:r="http://schemas.openxmlformats.org/officeDocument/2006/relationships" ref="F64" r:id="rId59"/>
    <hyperlink xmlns:r="http://schemas.openxmlformats.org/officeDocument/2006/relationships" ref="F65" r:id="rId60"/>
    <hyperlink xmlns:r="http://schemas.openxmlformats.org/officeDocument/2006/relationships" ref="F66" r:id="rId61"/>
    <hyperlink xmlns:r="http://schemas.openxmlformats.org/officeDocument/2006/relationships" ref="F67" r:id="rId62"/>
    <hyperlink xmlns:r="http://schemas.openxmlformats.org/officeDocument/2006/relationships" ref="F68" r:id="rId63"/>
    <hyperlink xmlns:r="http://schemas.openxmlformats.org/officeDocument/2006/relationships" ref="F69" r:id="rId64"/>
    <hyperlink xmlns:r="http://schemas.openxmlformats.org/officeDocument/2006/relationships" ref="F70" r:id="rId65"/>
    <hyperlink xmlns:r="http://schemas.openxmlformats.org/officeDocument/2006/relationships" ref="F71" r:id="rId66"/>
    <hyperlink xmlns:r="http://schemas.openxmlformats.org/officeDocument/2006/relationships" ref="F72" r:id="rId67"/>
    <hyperlink xmlns:r="http://schemas.openxmlformats.org/officeDocument/2006/relationships" ref="F73" r:id="rId68"/>
    <hyperlink xmlns:r="http://schemas.openxmlformats.org/officeDocument/2006/relationships" ref="F74" r:id="rId69"/>
    <hyperlink xmlns:r="http://schemas.openxmlformats.org/officeDocument/2006/relationships" ref="F75" r:id="rId70"/>
  </hyperlinks>
  <pageMargins left="0.25" right="0.25" top="0.5" bottom="0.5" header="0.5" footer="0.5"/>
  <pageSetup orientation="landscape" fitToHeight="0" fitToWidth="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000F6B78"/>
    <outlinePr summaryBelow="1" summaryRight="1"/>
    <pageSetUpPr fitToPage="1"/>
  </sheetPr>
  <dimension ref="A1:F21"/>
  <sheetViews>
    <sheetView showGridLines="0" zoomScale="8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30" customWidth="1" min="3" max="3"/>
    <col width="70" customWidth="1" min="4" max="4"/>
    <col width="55" customWidth="1" min="5" max="5"/>
    <col width="65" customWidth="1" min="6" max="6"/>
  </cols>
  <sheetData>
    <row r="1" ht="30" customHeight="1">
      <c r="A1" s="1" t="inlineStr">
        <is>
          <t>분류·범위·상태 해석 기준</t>
        </is>
      </c>
    </row>
    <row r="2" ht="22" customHeight="1">
      <c r="A2" s="14" t="inlineStr">
        <is>
          <t>본 Excel의 CCS/DCS 및 AI·DC·Campus 분류 방법 | 기준일 2026-09-08</t>
        </is>
      </c>
    </row>
    <row r="3" ht="35" customHeight="1">
      <c r="A3" s="15" t="inlineStr">
        <is>
          <t>이 시트의 용도 평가는 제품 선택을 돕는 실무 분류이며 Arista의 공식 호환성, 지원 정책, 라이선스 또는 구매 가능성을 대체하지 않습니다.</t>
        </is>
      </c>
    </row>
    <row r="4"/>
    <row r="5" ht="42" customHeight="1">
      <c r="A5" s="16" t="inlineStr">
        <is>
          <t>No</t>
        </is>
      </c>
      <c r="B5" s="16" t="inlineStr">
        <is>
          <t>구분</t>
        </is>
      </c>
      <c r="C5" s="16" t="inlineStr">
        <is>
          <t>항목</t>
        </is>
      </c>
      <c r="D5" s="16" t="inlineStr">
        <is>
          <t>정의/내용</t>
        </is>
      </c>
      <c r="E5" s="16" t="inlineStr">
        <is>
          <t>적용 방식</t>
        </is>
      </c>
      <c r="F5" s="16" t="inlineStr">
        <is>
          <t>공식 근거/URL</t>
        </is>
      </c>
    </row>
    <row r="6" ht="58" customHeight="1">
      <c r="A6" s="17" t="n">
        <v>1</v>
      </c>
      <c r="B6" s="19" t="inlineStr">
        <is>
          <t>범위</t>
        </is>
      </c>
      <c r="C6" s="19" t="inlineStr">
        <is>
          <t>기준일</t>
        </is>
      </c>
      <c r="D6" s="19" t="inlineStr">
        <is>
          <t>2026-09-08</t>
        </is>
      </c>
      <c r="E6" s="19" t="inlineStr">
        <is>
          <t>해당 날짜까지 공개된 공식 Arista 문서 기준</t>
        </is>
      </c>
      <c r="F6" s="21" t="inlineStr">
        <is>
          <t>https://www.arista.com/en/products/platforms</t>
        </is>
      </c>
    </row>
    <row r="7" ht="58" customHeight="1">
      <c r="A7" s="22" t="n">
        <v>2</v>
      </c>
      <c r="B7" s="23" t="inlineStr">
        <is>
          <t>범위</t>
        </is>
      </c>
      <c r="C7" s="23" t="inlineStr">
        <is>
          <t>유선 포함 범위</t>
        </is>
      </c>
      <c r="D7" s="23" t="inlineStr">
        <is>
          <t>공식 Switch Platforms 페이지 및 연결된 datasheet에 나타나는 DCS/CCS switch family와 base model/기능 SKU</t>
        </is>
      </c>
      <c r="E7" s="23" t="inlineStr">
        <is>
          <t>전원·airflow·memory·license·bundle suffix는 변형 SKU로 묶음</t>
        </is>
      </c>
      <c r="F7" s="24" t="inlineStr">
        <is>
          <t>https://www.arista.com/en/products/platforms</t>
        </is>
      </c>
    </row>
    <row r="8" ht="58" customHeight="1">
      <c r="A8" s="17" t="n">
        <v>3</v>
      </c>
      <c r="B8" s="19" t="inlineStr">
        <is>
          <t>범위</t>
        </is>
      </c>
      <c r="C8" s="19" t="inlineStr">
        <is>
          <t>무선 포함 범위</t>
        </is>
      </c>
      <c r="D8" s="19" t="inlineStr">
        <is>
          <t>AP Comparison Matrix의 19개 AP, mounting guide의 8개 option, antenna guide의 39개 모델</t>
        </is>
      </c>
      <c r="E8" s="19" t="inlineStr">
        <is>
          <t>개별 AP 데이터시트와 비교표를 교차검증</t>
        </is>
      </c>
      <c r="F8" s="21" t="inlineStr">
        <is>
          <t>https://www.arista.com/assets/data/pdf/Datasheets/AP-Comparison-Matrix-Datasheet-WiFi6.pdf</t>
        </is>
      </c>
    </row>
    <row r="9" ht="58" customHeight="1">
      <c r="A9" s="32" t="n">
        <v>4</v>
      </c>
      <c r="B9" s="33" t="inlineStr">
        <is>
          <t>유선 분류</t>
        </is>
      </c>
      <c r="C9" s="33" t="inlineStr">
        <is>
          <t>DCS</t>
        </is>
      </c>
      <c r="D9" s="33" t="inlineStr">
        <is>
          <t>Data Center Switch 계열/SKU</t>
        </is>
      </c>
      <c r="E9" s="33" t="inlineStr">
        <is>
          <t>AI, cloud DC, hyperscale, service-provider, ultra-low latency, edge/OOB 포함</t>
        </is>
      </c>
      <c r="F9" s="34" t="inlineStr">
        <is>
          <t>https://www.arista.com/en/products/platforms</t>
        </is>
      </c>
    </row>
    <row r="10" ht="58" customHeight="1">
      <c r="A10" s="17" t="n">
        <v>5</v>
      </c>
      <c r="B10" s="19" t="inlineStr">
        <is>
          <t>유선 분류</t>
        </is>
      </c>
      <c r="C10" s="19" t="inlineStr">
        <is>
          <t>CCS</t>
        </is>
      </c>
      <c r="D10" s="19" t="inlineStr">
        <is>
          <t>Cognitive Campus Switch 계열/SKU</t>
        </is>
      </c>
      <c r="E10" s="19" t="inlineStr">
        <is>
          <t>campus core/distribution/access, branch, industrial edge, PoE/mGig 포함</t>
        </is>
      </c>
      <c r="F10" s="21" t="inlineStr">
        <is>
          <t>https://www.arista.com/en/products/platforms</t>
        </is>
      </c>
    </row>
    <row r="11" ht="58" customHeight="1">
      <c r="A11" s="32" t="n">
        <v>6</v>
      </c>
      <c r="B11" s="33" t="inlineStr">
        <is>
          <t>용도 등급</t>
        </is>
      </c>
      <c r="C11" s="33" t="inlineStr">
        <is>
          <t>주력</t>
        </is>
      </c>
      <c r="D11" s="33" t="inlineStr">
        <is>
          <t>해당 use case를 공식 positioning의 핵심 대상으로 명시하거나 사양상 대표적 선택</t>
        </is>
      </c>
      <c r="E11" s="33" t="inlineStr">
        <is>
          <t>요약 필터/카운트 포함</t>
        </is>
      </c>
      <c r="F11" s="34" t="inlineStr">
        <is>
          <t>https://www.arista.com/en/products/platforms</t>
        </is>
      </c>
    </row>
    <row r="12" ht="58" customHeight="1">
      <c r="A12" s="17" t="n">
        <v>7</v>
      </c>
      <c r="B12" s="19" t="inlineStr">
        <is>
          <t>용도 등급</t>
        </is>
      </c>
      <c r="C12" s="19" t="inlineStr">
        <is>
          <t>적합</t>
        </is>
      </c>
      <c r="D12" s="19" t="inlineStr">
        <is>
          <t>해당 use case에 직접 적용 가능하고 공식 positioning 또는 사양이 강하게 부합</t>
        </is>
      </c>
      <c r="E12" s="19" t="inlineStr">
        <is>
          <t>요약 필터/카운트 포함</t>
        </is>
      </c>
      <c r="F12" s="21" t="inlineStr">
        <is>
          <t>https://www.arista.com/en/products/platforms</t>
        </is>
      </c>
    </row>
    <row r="13" ht="58" customHeight="1">
      <c r="A13" s="22" t="n">
        <v>8</v>
      </c>
      <c r="B13" s="23" t="inlineStr">
        <is>
          <t>용도 등급</t>
        </is>
      </c>
      <c r="C13" s="23" t="inlineStr">
        <is>
          <t>보조</t>
        </is>
      </c>
      <c r="D13" s="23" t="inlineStr">
        <is>
          <t>특정 edge/OOB/소규모/이전 세대 시나리오에서 보조적으로 활용 가능</t>
        </is>
      </c>
      <c r="E13" s="23" t="inlineStr">
        <is>
          <t>요약 필터/카운트 포함</t>
        </is>
      </c>
      <c r="F13" s="24" t="inlineStr">
        <is>
          <t>https://www.arista.com/en/products/platforms</t>
        </is>
      </c>
    </row>
    <row r="14" ht="58" customHeight="1">
      <c r="A14" s="17" t="n">
        <v>9</v>
      </c>
      <c r="B14" s="19" t="inlineStr">
        <is>
          <t>용도 등급</t>
        </is>
      </c>
      <c r="C14" s="19" t="inlineStr">
        <is>
          <t>특화</t>
        </is>
      </c>
      <c r="D14" s="19" t="inlineStr">
        <is>
          <t>전자거래, Layer 1, FPGA 등 특수 워크로드에 최적화</t>
        </is>
      </c>
      <c r="E14" s="19" t="inlineStr">
        <is>
          <t>일반 DC와 구분하여 표시</t>
        </is>
      </c>
      <c r="F14" s="21" t="inlineStr">
        <is>
          <t>https://www.arista.com/assets/data/pdf/Datasheets/7135V-Datasheet.pdf</t>
        </is>
      </c>
    </row>
    <row r="15" ht="58" customHeight="1">
      <c r="A15" s="22" t="n">
        <v>10</v>
      </c>
      <c r="B15" s="23" t="inlineStr">
        <is>
          <t>용도 등급</t>
        </is>
      </c>
      <c r="C15" s="23" t="inlineStr">
        <is>
          <t>-</t>
        </is>
      </c>
      <c r="D15" s="23" t="inlineStr">
        <is>
          <t>주요 적용 대상으로 분류하지 않음</t>
        </is>
      </c>
      <c r="E15" s="23" t="inlineStr">
        <is>
          <t>불가능하다는 의미는 아니며 기능 지원표를 별도 확인</t>
        </is>
      </c>
      <c r="F15" s="24" t="inlineStr">
        <is>
          <t>https://www.arista.com/en/products/platforms</t>
        </is>
      </c>
    </row>
    <row r="16" ht="58" customHeight="1">
      <c r="A16" s="25" t="n">
        <v>11</v>
      </c>
      <c r="B16" s="27" t="inlineStr">
        <is>
          <t>상태</t>
        </is>
      </c>
      <c r="C16" s="27" t="inlineStr">
        <is>
          <t>현행 공식 플랫폼/데이터시트 등재</t>
        </is>
      </c>
      <c r="D16" s="27" t="inlineStr">
        <is>
          <t>공식 현재 제품 탐색 또는 최신 데이터시트에서 확인</t>
        </is>
      </c>
      <c r="E16" s="27" t="inlineStr">
        <is>
          <t>판매 가능/지원 상태를 보장하지 않음</t>
        </is>
      </c>
      <c r="F16" s="30" t="inlineStr">
        <is>
          <t>https://www.arista.com/en/products/platforms</t>
        </is>
      </c>
    </row>
    <row r="17" ht="58" customHeight="1">
      <c r="A17" s="43" t="n">
        <v>12</v>
      </c>
      <c r="B17" s="44" t="inlineStr">
        <is>
          <t>상태</t>
        </is>
      </c>
      <c r="C17" s="44" t="inlineStr">
        <is>
          <t>레거시/EoS 주의</t>
        </is>
      </c>
      <c r="D17" s="40" t="inlineStr">
        <is>
          <t>공식 PDF는 유지되나 이전 세대 또는 문서 내 EoS 주석이 확인됨</t>
        </is>
      </c>
      <c r="E17" s="44" t="inlineStr">
        <is>
          <t>견적 전 공식 lifecycle/EOS 공지 확인</t>
        </is>
      </c>
      <c r="F17" s="45" t="inlineStr">
        <is>
          <t>https://www.arista.com/en/products/platforms</t>
        </is>
      </c>
    </row>
    <row r="18" ht="58" customHeight="1">
      <c r="A18" s="25" t="n">
        <v>13</v>
      </c>
      <c r="B18" s="27" t="inlineStr">
        <is>
          <t>무선</t>
        </is>
      </c>
      <c r="C18" s="27" t="inlineStr">
        <is>
          <t>외장 안테나 호환성</t>
        </is>
      </c>
      <c r="D18" s="27" t="inlineStr">
        <is>
          <t>Antenna Selection Guide의 AP compatibility 열에 명시된 모델만 기재</t>
        </is>
      </c>
      <c r="E18" s="27" t="inlineStr">
        <is>
          <t>connector가 같아도 미등재 조합은 호환으로 단정하지 않음</t>
        </is>
      </c>
      <c r="F18" s="30" t="inlineStr">
        <is>
          <t>https://www.arista.com/assets/data/pdf/Datasheets/Antenna-Selection-Guide.pdf</t>
        </is>
      </c>
    </row>
    <row r="19" ht="58" customHeight="1">
      <c r="A19" s="46" t="n">
        <v>14</v>
      </c>
      <c r="B19" s="47" t="inlineStr">
        <is>
          <t>무선 경고</t>
        </is>
      </c>
      <c r="C19" s="47" t="inlineStr">
        <is>
          <t>O-405E</t>
        </is>
      </c>
      <c r="D19" s="39" t="inlineStr">
        <is>
          <t>개별 datasheet는 4x N-Type을 명시하나 2026-01 antenna guide 호환표에 O-405E가 없음</t>
        </is>
      </c>
      <c r="E19" s="47" t="inlineStr">
        <is>
          <t>BOM·국가 인증·EIRP·AFC 검증 필수</t>
        </is>
      </c>
      <c r="F19" s="48" t="inlineStr">
        <is>
          <t>https://www.arista.com/assets/data/pdf/Datasheets/Arista-O-405E-Datasheet.pdf</t>
        </is>
      </c>
    </row>
    <row r="20" ht="58" customHeight="1">
      <c r="A20" s="46" t="n">
        <v>15</v>
      </c>
      <c r="B20" s="47" t="inlineStr">
        <is>
          <t>문서 경고</t>
        </is>
      </c>
      <c r="C20" s="47" t="inlineStr">
        <is>
          <t>C-250</t>
        </is>
      </c>
      <c r="D20" s="39" t="inlineStr">
        <is>
          <t>개별 PDF의 Key Specifications와 본문 사이 일부 MIMO 표기 상충</t>
        </is>
      </c>
      <c r="E20" s="47" t="inlineStr">
        <is>
          <t>최신 comparison matrix/ordering guide와 발주 BOM 재확인</t>
        </is>
      </c>
      <c r="F20" s="48" t="inlineStr">
        <is>
          <t>https://www.arista.com/assets/data/pdf/Datasheets/Arista-C-250-Datasheet.pdf</t>
        </is>
      </c>
    </row>
    <row r="21" ht="58" customHeight="1">
      <c r="A21" s="32" t="n">
        <v>16</v>
      </c>
      <c r="B21" s="33" t="inlineStr">
        <is>
          <t>제외</t>
        </is>
      </c>
      <c r="C21" s="33" t="inlineStr">
        <is>
          <t>AWE 7200R / 5000 Series / VeloCloud</t>
        </is>
      </c>
      <c r="D21" s="33" t="inlineStr">
        <is>
          <t>공식 포트폴리오상 WAN router/SD-WAN appliance 범주</t>
        </is>
      </c>
      <c r="E21" s="33" t="inlineStr">
        <is>
          <t>Switch 모델 수에서 제외</t>
        </is>
      </c>
      <c r="F21" s="34" t="inlineStr">
        <is>
          <t>https://www.arista.com/en/products/platforms</t>
        </is>
      </c>
    </row>
  </sheetData>
  <autoFilter ref="A5:F21"/>
  <mergeCells count="3">
    <mergeCell ref="A3:F3"/>
    <mergeCell ref="A2:F2"/>
    <mergeCell ref="A1:F1"/>
  </mergeCells>
  <hyperlinks>
    <hyperlink xmlns:r="http://schemas.openxmlformats.org/officeDocument/2006/relationships" ref="F6" r:id="rId1"/>
    <hyperlink xmlns:r="http://schemas.openxmlformats.org/officeDocument/2006/relationships" ref="F7" r:id="rId2"/>
    <hyperlink xmlns:r="http://schemas.openxmlformats.org/officeDocument/2006/relationships" ref="F8" r:id="rId3"/>
    <hyperlink xmlns:r="http://schemas.openxmlformats.org/officeDocument/2006/relationships" ref="F9" r:id="rId4"/>
    <hyperlink xmlns:r="http://schemas.openxmlformats.org/officeDocument/2006/relationships" ref="F10" r:id="rId5"/>
    <hyperlink xmlns:r="http://schemas.openxmlformats.org/officeDocument/2006/relationships" ref="F11" r:id="rId6"/>
    <hyperlink xmlns:r="http://schemas.openxmlformats.org/officeDocument/2006/relationships" ref="F12" r:id="rId7"/>
    <hyperlink xmlns:r="http://schemas.openxmlformats.org/officeDocument/2006/relationships" ref="F13" r:id="rId8"/>
    <hyperlink xmlns:r="http://schemas.openxmlformats.org/officeDocument/2006/relationships" ref="F14" r:id="rId9"/>
    <hyperlink xmlns:r="http://schemas.openxmlformats.org/officeDocument/2006/relationships" ref="F15" r:id="rId10"/>
    <hyperlink xmlns:r="http://schemas.openxmlformats.org/officeDocument/2006/relationships" ref="F16" r:id="rId11"/>
    <hyperlink xmlns:r="http://schemas.openxmlformats.org/officeDocument/2006/relationships" ref="F17" r:id="rId12"/>
    <hyperlink xmlns:r="http://schemas.openxmlformats.org/officeDocument/2006/relationships" ref="F18" r:id="rId13"/>
    <hyperlink xmlns:r="http://schemas.openxmlformats.org/officeDocument/2006/relationships" ref="F19" r:id="rId14"/>
    <hyperlink xmlns:r="http://schemas.openxmlformats.org/officeDocument/2006/relationships" ref="F20" r:id="rId15"/>
    <hyperlink xmlns:r="http://schemas.openxmlformats.org/officeDocument/2006/relationships" ref="F21" r:id="rId16"/>
  </hyperlinks>
  <pageMargins left="0.25" right="0.25" top="0.5" bottom="0.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OpenAI</dc:creator>
  <dc:title xmlns:dc="http://purl.org/dc/elements/1.1/">Arista AP 및 Switch 제품 포트폴리오</dc:title>
  <dc:description xmlns:dc="http://purl.org/dc/elements/1.1/">Official Arista sources reviewed as of 2026-09-08</dc:description>
  <dc:subject xmlns:dc="http://purl.org/dc/elements/1.1/">Arista DCS/CCS switch, Wi-Fi AP, mounting kits and external antennas</dc:subject>
  <dcterms:created xmlns:dcterms="http://purl.org/dc/terms/" xmlns:xsi="http://www.w3.org/2001/XMLSchema-instance" xsi:type="dcterms:W3CDTF">2026-09-08T02:15:33Z</dcterms:created>
  <dcterms:modified xmlns:dcterms="http://purl.org/dc/terms/" xmlns:xsi="http://www.w3.org/2001/XMLSchema-instance" xsi:type="dcterms:W3CDTF">2026-09-08T05:39:35Z</dcterms:modified>
  <cp:keywords>Arista,DCS,CCS,Wi-Fi,AP,Switch,Datasheet,Antenna,Mount</cp:keywords>
</cp:coreProperties>
</file>